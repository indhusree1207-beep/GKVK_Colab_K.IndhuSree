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 Dataset" sheetId="1" r:id="rId4"/>
    <sheet state="visible" name="Sheet1" sheetId="2" r:id="rId5"/>
    <sheet state="visible" name="Iteration-1" sheetId="3" r:id="rId6"/>
    <sheet state="visible" name="Practice 1" sheetId="4" r:id="rId7"/>
    <sheet state="visible" name="Practice 2 " sheetId="5" r:id="rId8"/>
    <sheet state="visible" name="Practice 3" sheetId="6" r:id="rId9"/>
    <sheet state="visible" name="Iteration-2" sheetId="7" r:id="rId10"/>
    <sheet state="visible" name="Sheet4" sheetId="8" r:id="rId11"/>
    <sheet state="visible" name="Sheet5" sheetId="9" r:id="rId12"/>
  </sheets>
  <definedNames/>
  <calcPr/>
  <extLst>
    <ext uri="GoogleSheetsCustomDataVersion2">
      <go:sheetsCustomData xmlns:go="http://customooxmlschemas.google.com/" r:id="rId13" roundtripDataChecksum="wl9YMSDCk+yOUDte4xvt3OtU+m2XqT/b2MHw1a3K2p0="/>
    </ext>
  </extLst>
</workbook>
</file>

<file path=xl/sharedStrings.xml><?xml version="1.0" encoding="utf-8"?>
<sst xmlns="http://schemas.openxmlformats.org/spreadsheetml/2006/main" count="90" uniqueCount="32">
  <si>
    <t>i</t>
  </si>
  <si>
    <t>Temperature (x)</t>
  </si>
  <si>
    <t>Y</t>
  </si>
  <si>
    <t>Initialization</t>
  </si>
  <si>
    <t>Update Weights</t>
  </si>
  <si>
    <t>β_0</t>
  </si>
  <si>
    <t>β_0= β_0-αg_0</t>
  </si>
  <si>
    <t>β_1</t>
  </si>
  <si>
    <t>β_1= β_1-αg_1</t>
  </si>
  <si>
    <t>α</t>
  </si>
  <si>
    <t>y</t>
  </si>
  <si>
    <t>Z</t>
  </si>
  <si>
    <t>exp</t>
  </si>
  <si>
    <t>p</t>
  </si>
  <si>
    <t>Error= p-y</t>
  </si>
  <si>
    <t>g_0(Intercept gradient)</t>
  </si>
  <si>
    <t>(p-y)x</t>
  </si>
  <si>
    <t>Slope Gradient (g_1)</t>
  </si>
  <si>
    <t>Updated Model</t>
  </si>
  <si>
    <t>z=0+0.045x</t>
  </si>
  <si>
    <t>Rainfall (x)</t>
  </si>
  <si>
    <t>Rainfall</t>
  </si>
  <si>
    <t>Probabiltity</t>
  </si>
  <si>
    <t>z=−0.0026−0.084x</t>
  </si>
  <si>
    <t>Final Model</t>
  </si>
  <si>
    <t>z=−36.7458+0.5653x</t>
  </si>
  <si>
    <t xml:space="preserve">p(x) = </t>
  </si>
  <si>
    <t>1/(1+e^-z)</t>
  </si>
  <si>
    <t>Humidity</t>
  </si>
  <si>
    <t>Linear Predictor (z)</t>
  </si>
  <si>
    <t>Probability</t>
  </si>
  <si>
    <t>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</si>
</sst>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ptos Narrow"/>
      <scheme val="minor"/>
    </font>
    <font>
      <b/>
      <sz val="14.0"/>
      <color theme="1"/>
      <name val="Aptos Narrow"/>
    </font>
    <font>
      <b/>
      <sz val="11.0"/>
      <color theme="1"/>
      <name val="Aptos Narrow"/>
    </font>
    <font>
      <b/>
      <sz val="11.0"/>
      <color theme="1"/>
      <name val="Arial"/>
    </font>
    <font>
      <sz val="11.0"/>
      <color theme="1"/>
      <name val="Aptos Narrow"/>
    </font>
    <font>
      <color theme="1"/>
      <name val="Aptos Narrow"/>
      <scheme val="minor"/>
    </font>
    <font/>
    <font>
      <b/>
      <color theme="1"/>
      <name val="Arial"/>
    </font>
    <font>
      <color theme="1"/>
      <name val="Arial"/>
    </font>
    <font>
      <sz val="14.0"/>
      <color theme="1"/>
      <name val="Aptos Narrow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Font="1"/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/>
    </xf>
    <xf borderId="1" fillId="0" fontId="2" numFmtId="0" xfId="0" applyBorder="1" applyFont="1"/>
    <xf borderId="1" fillId="0" fontId="3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/>
    </xf>
    <xf borderId="1" fillId="0" fontId="4" numFmtId="0" xfId="0" applyBorder="1" applyFont="1"/>
    <xf borderId="0" fillId="0" fontId="4" numFmtId="0" xfId="0" applyAlignment="1" applyFont="1">
      <alignment shrinkToFit="0" wrapText="1"/>
    </xf>
    <xf borderId="0" fillId="0" fontId="5" numFmtId="0" xfId="0" applyFont="1"/>
    <xf borderId="2" fillId="0" fontId="3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readingOrder="0" vertical="center"/>
    </xf>
    <xf borderId="3" fillId="0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5" fillId="0" fontId="6" numFmtId="0" xfId="0" applyBorder="1" applyFont="1"/>
    <xf borderId="6" fillId="0" fontId="6" numFmtId="0" xfId="0" applyBorder="1" applyFont="1"/>
    <xf borderId="0" fillId="0" fontId="3" numFmtId="0" xfId="0" applyAlignment="1" applyFont="1">
      <alignment readingOrder="0"/>
    </xf>
    <xf borderId="2" fillId="0" fontId="2" numFmtId="0" xfId="0" applyAlignment="1" applyBorder="1" applyFont="1">
      <alignment horizontal="center" vertical="center"/>
    </xf>
    <xf borderId="2" fillId="0" fontId="7" numFmtId="0" xfId="0" applyAlignment="1" applyBorder="1" applyFont="1">
      <alignment horizontal="center" readingOrder="0" vertical="center"/>
    </xf>
    <xf borderId="2" fillId="0" fontId="8" numFmtId="0" xfId="0" applyAlignment="1" applyBorder="1" applyFont="1">
      <alignment horizontal="center" readingOrder="0" vertical="center"/>
    </xf>
    <xf borderId="0" fillId="0" fontId="4" numFmtId="0" xfId="0" applyFont="1"/>
    <xf borderId="1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black"/>
              </a:defRPr>
            </a:pPr>
            <a:r>
              <a:rPr b="0">
                <a:solidFill>
                  <a:srgbClr val="757575"/>
                </a:solidFill>
                <a:latin typeface="Arial black"/>
              </a:rPr>
              <a:t>Rainfall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'Practice 3'!$A$1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'Practice 3'!$A$2:$A$31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2132383"/>
        <c:axId val="1547245688"/>
      </c:scatterChart>
      <c:valAx>
        <c:axId val="114213238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</a:p>
        </c:txPr>
        <c:crossAx val="1547245688"/>
      </c:valAx>
      <c:valAx>
        <c:axId val="15472456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>Rainfall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</a:p>
        </c:txPr>
        <c:crossAx val="11421323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 black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black"/>
              </a:defRPr>
            </a:pPr>
            <a:r>
              <a:rPr b="0">
                <a:solidFill>
                  <a:srgbClr val="757575"/>
                </a:solidFill>
                <a:latin typeface="Arial black"/>
              </a:rPr>
              <a:t>Z and Probabiltity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'Practice 3'!$B$1</c:f>
            </c:strRef>
          </c:tx>
          <c:spPr>
            <a:solidFill>
              <a:srgbClr val="156082">
                <a:alpha val="30000"/>
              </a:srgbClr>
            </a:solidFill>
            <a:ln cmpd="sng">
              <a:solidFill>
                <a:srgbClr val="156082"/>
              </a:solidFill>
            </a:ln>
          </c:spPr>
          <c:cat>
            <c:strRef>
              <c:f>'Practice 3'!$A$2:$A$31</c:f>
            </c:strRef>
          </c:cat>
          <c:val>
            <c:numRef>
              <c:f>'Practice 3'!$B$2:$B$31</c:f>
              <c:numCache/>
            </c:numRef>
          </c:val>
        </c:ser>
        <c:ser>
          <c:idx val="1"/>
          <c:order val="1"/>
          <c:tx>
            <c:strRef>
              <c:f>'Practice 3'!$C$1</c:f>
            </c:strRef>
          </c:tx>
          <c:spPr>
            <a:solidFill>
              <a:srgbClr val="E97132">
                <a:alpha val="30000"/>
              </a:srgbClr>
            </a:solidFill>
            <a:ln cmpd="sng">
              <a:solidFill>
                <a:srgbClr val="E97132"/>
              </a:solidFill>
            </a:ln>
          </c:spPr>
          <c:cat>
            <c:strRef>
              <c:f>'Practice 3'!$A$2:$A$31</c:f>
            </c:strRef>
          </c:cat>
          <c:val>
            <c:numRef>
              <c:f>'Practice 3'!$C$2:$C$31</c:f>
              <c:numCache/>
            </c:numRef>
          </c:val>
        </c:ser>
        <c:axId val="587859851"/>
        <c:axId val="1920118799"/>
      </c:areaChart>
      <c:catAx>
        <c:axId val="5878598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>Rainfall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</a:p>
        </c:txPr>
        <c:crossAx val="1920118799"/>
      </c:catAx>
      <c:valAx>
        <c:axId val="19201187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</a:p>
        </c:txPr>
        <c:crossAx val="5878598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 black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Probability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Sheet4!$A$2:$A$7</c:f>
            </c:numRef>
          </c:xVal>
          <c:yVal>
            <c:numRef>
              <c:f>Sheet4!$C$2:$C$7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5488467"/>
        <c:axId val="1084693020"/>
      </c:scatterChart>
      <c:valAx>
        <c:axId val="165548846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84693020"/>
      </c:valAx>
      <c:valAx>
        <c:axId val="10846930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55488467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Probability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Sheet5!$A$2:$A$21</c:f>
            </c:numRef>
          </c:xVal>
          <c:yVal>
            <c:numRef>
              <c:f>Sheet5!$C$2:$C$21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7213077"/>
        <c:axId val="2117406928"/>
      </c:scatterChart>
      <c:valAx>
        <c:axId val="91721307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17406928"/>
      </c:valAx>
      <c:valAx>
        <c:axId val="21174069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17213077"/>
      </c:valAx>
    </c:plotArea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638175</xdr:colOff>
      <xdr:row>0</xdr:row>
      <xdr:rowOff>85725</xdr:rowOff>
    </xdr:from>
    <xdr:ext cx="5715000" cy="3533775"/>
    <xdr:graphicFrame>
      <xdr:nvGraphicFramePr>
        <xdr:cNvPr id="640662269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638175</xdr:colOff>
      <xdr:row>19</xdr:row>
      <xdr:rowOff>142875</xdr:rowOff>
    </xdr:from>
    <xdr:ext cx="5715000" cy="3533775"/>
    <xdr:graphicFrame>
      <xdr:nvGraphicFramePr>
        <xdr:cNvPr id="348267038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19050</xdr:colOff>
      <xdr:row>1</xdr:row>
      <xdr:rowOff>171450</xdr:rowOff>
    </xdr:from>
    <xdr:ext cx="4905375" cy="2981325"/>
    <xdr:graphicFrame>
      <xdr:nvGraphicFramePr>
        <xdr:cNvPr id="372133766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533400</xdr:colOff>
      <xdr:row>1</xdr:row>
      <xdr:rowOff>171450</xdr:rowOff>
    </xdr:from>
    <xdr:ext cx="4953000" cy="2981325"/>
    <xdr:graphicFrame>
      <xdr:nvGraphicFramePr>
        <xdr:cNvPr id="1087613163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8.75"/>
    <col customWidth="1" min="3" max="26" width="8.63"/>
  </cols>
  <sheetData>
    <row r="2">
      <c r="A2" s="1" t="s">
        <v>0</v>
      </c>
      <c r="B2" s="1" t="s">
        <v>1</v>
      </c>
      <c r="C2" s="1" t="s">
        <v>2</v>
      </c>
    </row>
    <row r="3">
      <c r="A3" s="1">
        <v>1.0</v>
      </c>
      <c r="B3" s="1">
        <v>40.0</v>
      </c>
      <c r="C3" s="1">
        <v>0.0</v>
      </c>
    </row>
    <row r="4">
      <c r="A4" s="1">
        <v>2.0</v>
      </c>
      <c r="B4" s="1">
        <v>50.0</v>
      </c>
      <c r="C4" s="1">
        <v>0.0</v>
      </c>
    </row>
    <row r="5">
      <c r="A5" s="1">
        <v>3.0</v>
      </c>
      <c r="B5" s="1">
        <v>60.0</v>
      </c>
      <c r="C5" s="1">
        <v>0.0</v>
      </c>
    </row>
    <row r="6">
      <c r="A6" s="1">
        <v>4.0</v>
      </c>
      <c r="B6" s="1">
        <v>70.0</v>
      </c>
      <c r="C6" s="1">
        <v>1.0</v>
      </c>
    </row>
    <row r="7">
      <c r="A7" s="1">
        <v>5.0</v>
      </c>
      <c r="B7" s="1">
        <v>80.0</v>
      </c>
      <c r="C7" s="1">
        <v>1.0</v>
      </c>
    </row>
    <row r="8">
      <c r="A8" s="1">
        <v>6.0</v>
      </c>
      <c r="B8" s="1">
        <v>90.0</v>
      </c>
      <c r="C8" s="1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" width="8.63"/>
    <col customWidth="1" min="8" max="8" width="11.88"/>
    <col customWidth="1" min="9" max="9" width="8.63"/>
    <col customWidth="1" min="10" max="10" width="12.38"/>
    <col customWidth="1" min="11" max="26" width="8.63"/>
  </cols>
  <sheetData>
    <row r="2">
      <c r="A2" s="2" t="s">
        <v>3</v>
      </c>
      <c r="B2" s="2"/>
      <c r="C2" s="2"/>
      <c r="D2" s="2"/>
      <c r="E2" s="2" t="s">
        <v>4</v>
      </c>
      <c r="F2" s="2"/>
    </row>
    <row r="3">
      <c r="A3" s="2" t="s">
        <v>5</v>
      </c>
      <c r="B3" s="2">
        <v>0.0</v>
      </c>
      <c r="C3" s="2"/>
      <c r="D3" s="2"/>
      <c r="E3" s="2" t="s">
        <v>6</v>
      </c>
      <c r="F3" s="2"/>
    </row>
    <row r="4">
      <c r="A4" s="2" t="s">
        <v>7</v>
      </c>
      <c r="B4" s="2">
        <v>0.0</v>
      </c>
      <c r="C4" s="2"/>
      <c r="D4" s="2"/>
      <c r="E4" s="2" t="s">
        <v>8</v>
      </c>
      <c r="F4" s="2"/>
    </row>
    <row r="5">
      <c r="A5" s="2" t="s">
        <v>9</v>
      </c>
      <c r="B5" s="2">
        <v>0.001</v>
      </c>
      <c r="C5" s="2"/>
      <c r="D5" s="2"/>
      <c r="E5" s="2"/>
      <c r="F5" s="2"/>
    </row>
    <row r="7">
      <c r="A7" s="3" t="s">
        <v>0</v>
      </c>
      <c r="B7" s="3" t="s">
        <v>1</v>
      </c>
      <c r="C7" s="3" t="s">
        <v>10</v>
      </c>
      <c r="D7" s="4" t="s">
        <v>11</v>
      </c>
      <c r="E7" s="3" t="s">
        <v>12</v>
      </c>
      <c r="F7" s="3" t="s">
        <v>13</v>
      </c>
      <c r="G7" s="3" t="s">
        <v>14</v>
      </c>
      <c r="H7" s="3" t="s">
        <v>15</v>
      </c>
      <c r="I7" s="3" t="s">
        <v>16</v>
      </c>
      <c r="J7" s="3" t="s">
        <v>17</v>
      </c>
      <c r="K7" s="3" t="s">
        <v>5</v>
      </c>
      <c r="L7" s="3" t="s">
        <v>7</v>
      </c>
    </row>
    <row r="8">
      <c r="A8" s="3">
        <v>1.0</v>
      </c>
      <c r="B8" s="3">
        <v>40.0</v>
      </c>
      <c r="C8" s="3">
        <v>0.0</v>
      </c>
      <c r="D8" s="4">
        <f>B3+B4*B8</f>
        <v>0</v>
      </c>
      <c r="E8" s="5">
        <f t="shared" ref="E8:E13" si="1">EXP(-D8)</f>
        <v>1</v>
      </c>
      <c r="F8" s="5">
        <f t="shared" ref="F8:F13" si="2">1/(1+E8)</f>
        <v>0.5</v>
      </c>
      <c r="G8" s="4">
        <f t="shared" ref="G8:G13" si="3">F8-C8</f>
        <v>0.5</v>
      </c>
      <c r="H8" s="4">
        <f>SUM(G8:G13)</f>
        <v>0</v>
      </c>
      <c r="I8" s="4">
        <f t="shared" ref="I8:I13" si="4">G8*B8</f>
        <v>20</v>
      </c>
      <c r="J8" s="6">
        <f>B3-B5*H8</f>
        <v>0</v>
      </c>
      <c r="K8" s="4">
        <f>B3-B5*H8</f>
        <v>0</v>
      </c>
      <c r="L8" s="7">
        <f>B4-B5*J8</f>
        <v>0</v>
      </c>
    </row>
    <row r="9">
      <c r="A9" s="3">
        <v>2.0</v>
      </c>
      <c r="B9" s="3">
        <v>50.0</v>
      </c>
      <c r="C9" s="3">
        <v>0.0</v>
      </c>
      <c r="D9" s="4">
        <f>B3+B4*B9</f>
        <v>0</v>
      </c>
      <c r="E9" s="5">
        <f t="shared" si="1"/>
        <v>1</v>
      </c>
      <c r="F9" s="5">
        <f t="shared" si="2"/>
        <v>0.5</v>
      </c>
      <c r="G9" s="4">
        <f t="shared" si="3"/>
        <v>0.5</v>
      </c>
      <c r="H9" s="5"/>
      <c r="I9" s="4">
        <f t="shared" si="4"/>
        <v>25</v>
      </c>
      <c r="J9" s="5"/>
      <c r="K9" s="5"/>
      <c r="L9" s="8"/>
    </row>
    <row r="10">
      <c r="A10" s="3">
        <v>3.0</v>
      </c>
      <c r="B10" s="3">
        <v>60.0</v>
      </c>
      <c r="C10" s="3">
        <v>0.0</v>
      </c>
      <c r="D10" s="4">
        <f>B3+B4*B10</f>
        <v>0</v>
      </c>
      <c r="E10" s="5">
        <f t="shared" si="1"/>
        <v>1</v>
      </c>
      <c r="F10" s="5">
        <f t="shared" si="2"/>
        <v>0.5</v>
      </c>
      <c r="G10" s="4">
        <f t="shared" si="3"/>
        <v>0.5</v>
      </c>
      <c r="H10" s="5"/>
      <c r="I10" s="4">
        <f t="shared" si="4"/>
        <v>30</v>
      </c>
      <c r="J10" s="5"/>
      <c r="K10" s="5"/>
      <c r="L10" s="8"/>
    </row>
    <row r="11">
      <c r="A11" s="3">
        <v>4.0</v>
      </c>
      <c r="B11" s="3">
        <v>70.0</v>
      </c>
      <c r="C11" s="3">
        <v>1.0</v>
      </c>
      <c r="D11" s="4">
        <f>B3+B4*B11</f>
        <v>0</v>
      </c>
      <c r="E11" s="5">
        <f t="shared" si="1"/>
        <v>1</v>
      </c>
      <c r="F11" s="5">
        <f t="shared" si="2"/>
        <v>0.5</v>
      </c>
      <c r="G11" s="4">
        <f t="shared" si="3"/>
        <v>-0.5</v>
      </c>
      <c r="H11" s="5"/>
      <c r="I11" s="4">
        <f t="shared" si="4"/>
        <v>-35</v>
      </c>
      <c r="J11" s="5"/>
      <c r="K11" s="5"/>
      <c r="L11" s="8"/>
    </row>
    <row r="12">
      <c r="A12" s="3">
        <v>5.0</v>
      </c>
      <c r="B12" s="3">
        <v>80.0</v>
      </c>
      <c r="C12" s="3">
        <v>1.0</v>
      </c>
      <c r="D12" s="4">
        <f>B3+B4*B12</f>
        <v>0</v>
      </c>
      <c r="E12" s="5">
        <f t="shared" si="1"/>
        <v>1</v>
      </c>
      <c r="F12" s="5">
        <f t="shared" si="2"/>
        <v>0.5</v>
      </c>
      <c r="G12" s="4">
        <f t="shared" si="3"/>
        <v>-0.5</v>
      </c>
      <c r="H12" s="5"/>
      <c r="I12" s="4">
        <f t="shared" si="4"/>
        <v>-40</v>
      </c>
      <c r="J12" s="5"/>
      <c r="K12" s="5"/>
      <c r="L12" s="8"/>
    </row>
    <row r="13">
      <c r="A13" s="3">
        <v>6.0</v>
      </c>
      <c r="B13" s="3">
        <v>90.0</v>
      </c>
      <c r="C13" s="3">
        <v>1.0</v>
      </c>
      <c r="D13" s="4">
        <f>B3+B4*B13</f>
        <v>0</v>
      </c>
      <c r="E13" s="5">
        <f t="shared" si="1"/>
        <v>1</v>
      </c>
      <c r="F13" s="5">
        <f t="shared" si="2"/>
        <v>0.5</v>
      </c>
      <c r="G13" s="4">
        <f t="shared" si="3"/>
        <v>-0.5</v>
      </c>
      <c r="H13" s="5"/>
      <c r="I13" s="4">
        <f t="shared" si="4"/>
        <v>-45</v>
      </c>
      <c r="J13" s="5"/>
      <c r="K13" s="5"/>
      <c r="L13" s="8"/>
    </row>
    <row r="17">
      <c r="F17" s="9" t="s">
        <v>18</v>
      </c>
      <c r="G17" s="10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1" t="s">
        <v>0</v>
      </c>
      <c r="B1" s="11" t="s">
        <v>20</v>
      </c>
      <c r="C1" s="12" t="s">
        <v>10</v>
      </c>
      <c r="D1" s="13" t="s">
        <v>11</v>
      </c>
      <c r="E1" s="12" t="s">
        <v>12</v>
      </c>
      <c r="F1" s="12" t="s">
        <v>13</v>
      </c>
      <c r="G1" s="12" t="s">
        <v>14</v>
      </c>
      <c r="H1" s="12" t="s">
        <v>15</v>
      </c>
      <c r="I1" s="12" t="s">
        <v>16</v>
      </c>
      <c r="J1" s="12" t="s">
        <v>17</v>
      </c>
      <c r="K1" s="11" t="s">
        <v>5</v>
      </c>
      <c r="L1" s="12" t="s">
        <v>7</v>
      </c>
    </row>
    <row r="2">
      <c r="A2" s="14">
        <v>1.0</v>
      </c>
      <c r="B2" s="14">
        <v>820.0</v>
      </c>
      <c r="C2" s="14">
        <v>1.0</v>
      </c>
      <c r="D2" s="15">
        <f>B14+B15*B2</f>
        <v>1197.1995</v>
      </c>
      <c r="E2" s="16">
        <f t="shared" ref="E2:E11" si="1">EXP(-D2)</f>
        <v>0</v>
      </c>
      <c r="F2" s="16">
        <f t="shared" ref="F2:F11" si="2">1/(1+E2)</f>
        <v>1</v>
      </c>
      <c r="G2" s="16">
        <f t="shared" ref="G2:G11" si="3">F2-C2</f>
        <v>0</v>
      </c>
      <c r="H2" s="17">
        <f>SUM(G2:G11)</f>
        <v>0.5</v>
      </c>
      <c r="I2" s="16">
        <f t="shared" ref="I2:I11" si="4">G2*B2</f>
        <v>0</v>
      </c>
      <c r="J2" s="17">
        <f>SUM(I2:I11)</f>
        <v>-150</v>
      </c>
      <c r="K2" s="17">
        <f>B14-B16*H2</f>
        <v>-0.001</v>
      </c>
      <c r="L2" s="17">
        <f>B15-B16*J2</f>
        <v>1.61</v>
      </c>
    </row>
    <row r="3">
      <c r="A3" s="14">
        <v>2.0</v>
      </c>
      <c r="B3" s="14">
        <v>900.0</v>
      </c>
      <c r="C3" s="14">
        <v>1.0</v>
      </c>
      <c r="D3" s="15">
        <f>B14+B15*B3</f>
        <v>1313.9995</v>
      </c>
      <c r="E3" s="16">
        <f t="shared" si="1"/>
        <v>0</v>
      </c>
      <c r="F3" s="16">
        <f t="shared" si="2"/>
        <v>1</v>
      </c>
      <c r="G3" s="16">
        <f t="shared" si="3"/>
        <v>0</v>
      </c>
      <c r="H3" s="18"/>
      <c r="I3" s="16">
        <f t="shared" si="4"/>
        <v>0</v>
      </c>
      <c r="J3" s="18"/>
      <c r="K3" s="18"/>
      <c r="L3" s="18"/>
    </row>
    <row r="4">
      <c r="A4" s="14">
        <v>3.0</v>
      </c>
      <c r="B4" s="14">
        <v>600.0</v>
      </c>
      <c r="C4" s="14">
        <v>0.0</v>
      </c>
      <c r="D4" s="15">
        <f>B14+B15*B4</f>
        <v>875.9995</v>
      </c>
      <c r="E4" s="16">
        <f t="shared" si="1"/>
        <v>0</v>
      </c>
      <c r="F4" s="16">
        <f t="shared" si="2"/>
        <v>1</v>
      </c>
      <c r="G4" s="16">
        <f t="shared" si="3"/>
        <v>1</v>
      </c>
      <c r="H4" s="18"/>
      <c r="I4" s="16">
        <f t="shared" si="4"/>
        <v>600</v>
      </c>
      <c r="J4" s="18"/>
      <c r="K4" s="18"/>
      <c r="L4" s="18"/>
    </row>
    <row r="5">
      <c r="A5" s="14">
        <v>4.0</v>
      </c>
      <c r="B5" s="14">
        <v>750.0</v>
      </c>
      <c r="C5" s="14">
        <v>1.0</v>
      </c>
      <c r="D5" s="15">
        <f t="shared" ref="D5:D11" si="5">B17+B18*B5</f>
        <v>0</v>
      </c>
      <c r="E5" s="16">
        <f t="shared" si="1"/>
        <v>1</v>
      </c>
      <c r="F5" s="16">
        <f t="shared" si="2"/>
        <v>0.5</v>
      </c>
      <c r="G5" s="16">
        <f t="shared" si="3"/>
        <v>-0.5</v>
      </c>
      <c r="H5" s="18"/>
      <c r="I5" s="16">
        <f t="shared" si="4"/>
        <v>-375</v>
      </c>
      <c r="J5" s="18"/>
      <c r="K5" s="18"/>
      <c r="L5" s="18"/>
    </row>
    <row r="6">
      <c r="A6" s="14">
        <v>5.0</v>
      </c>
      <c r="B6" s="14">
        <v>580.0</v>
      </c>
      <c r="C6" s="14">
        <v>0.0</v>
      </c>
      <c r="D6" s="15">
        <f t="shared" si="5"/>
        <v>0</v>
      </c>
      <c r="E6" s="16">
        <f t="shared" si="1"/>
        <v>1</v>
      </c>
      <c r="F6" s="16">
        <f t="shared" si="2"/>
        <v>0.5</v>
      </c>
      <c r="G6" s="16">
        <f t="shared" si="3"/>
        <v>0.5</v>
      </c>
      <c r="H6" s="18"/>
      <c r="I6" s="16">
        <f t="shared" si="4"/>
        <v>290</v>
      </c>
      <c r="J6" s="18"/>
      <c r="K6" s="18"/>
      <c r="L6" s="18"/>
    </row>
    <row r="7">
      <c r="A7" s="14">
        <v>6.0</v>
      </c>
      <c r="B7" s="14">
        <v>880.0</v>
      </c>
      <c r="C7" s="14">
        <v>1.0</v>
      </c>
      <c r="D7" s="15">
        <f t="shared" si="5"/>
        <v>0</v>
      </c>
      <c r="E7" s="16">
        <f t="shared" si="1"/>
        <v>1</v>
      </c>
      <c r="F7" s="16">
        <f t="shared" si="2"/>
        <v>0.5</v>
      </c>
      <c r="G7" s="16">
        <f t="shared" si="3"/>
        <v>-0.5</v>
      </c>
      <c r="H7" s="18"/>
      <c r="I7" s="16">
        <f t="shared" si="4"/>
        <v>-440</v>
      </c>
      <c r="J7" s="18"/>
      <c r="K7" s="18"/>
      <c r="L7" s="18"/>
    </row>
    <row r="8">
      <c r="A8" s="14">
        <v>7.0</v>
      </c>
      <c r="B8" s="14">
        <v>640.0</v>
      </c>
      <c r="C8" s="14">
        <v>0.0</v>
      </c>
      <c r="D8" s="15">
        <f t="shared" si="5"/>
        <v>0</v>
      </c>
      <c r="E8" s="16">
        <f t="shared" si="1"/>
        <v>1</v>
      </c>
      <c r="F8" s="16">
        <f t="shared" si="2"/>
        <v>0.5</v>
      </c>
      <c r="G8" s="16">
        <f t="shared" si="3"/>
        <v>0.5</v>
      </c>
      <c r="H8" s="18"/>
      <c r="I8" s="16">
        <f t="shared" si="4"/>
        <v>320</v>
      </c>
      <c r="J8" s="18"/>
      <c r="K8" s="18"/>
      <c r="L8" s="18"/>
    </row>
    <row r="9">
      <c r="A9" s="14">
        <v>8.0</v>
      </c>
      <c r="B9" s="14">
        <v>920.0</v>
      </c>
      <c r="C9" s="14">
        <v>1.0</v>
      </c>
      <c r="D9" s="15">
        <f t="shared" si="5"/>
        <v>0</v>
      </c>
      <c r="E9" s="16">
        <f t="shared" si="1"/>
        <v>1</v>
      </c>
      <c r="F9" s="16">
        <f t="shared" si="2"/>
        <v>0.5</v>
      </c>
      <c r="G9" s="16">
        <f t="shared" si="3"/>
        <v>-0.5</v>
      </c>
      <c r="H9" s="18"/>
      <c r="I9" s="16">
        <f t="shared" si="4"/>
        <v>-460</v>
      </c>
      <c r="J9" s="18"/>
      <c r="K9" s="18"/>
      <c r="L9" s="18"/>
    </row>
    <row r="10">
      <c r="A10" s="14">
        <v>9.0</v>
      </c>
      <c r="B10" s="14">
        <v>710.0</v>
      </c>
      <c r="C10" s="14">
        <v>1.0</v>
      </c>
      <c r="D10" s="15">
        <f t="shared" si="5"/>
        <v>0</v>
      </c>
      <c r="E10" s="16">
        <f t="shared" si="1"/>
        <v>1</v>
      </c>
      <c r="F10" s="16">
        <f t="shared" si="2"/>
        <v>0.5</v>
      </c>
      <c r="G10" s="16">
        <f t="shared" si="3"/>
        <v>-0.5</v>
      </c>
      <c r="H10" s="18"/>
      <c r="I10" s="16">
        <f t="shared" si="4"/>
        <v>-355</v>
      </c>
      <c r="J10" s="18"/>
      <c r="K10" s="18"/>
      <c r="L10" s="18"/>
    </row>
    <row r="11">
      <c r="A11" s="14">
        <v>10.0</v>
      </c>
      <c r="B11" s="14">
        <v>540.0</v>
      </c>
      <c r="C11" s="14">
        <v>0.0</v>
      </c>
      <c r="D11" s="15">
        <f t="shared" si="5"/>
        <v>0</v>
      </c>
      <c r="E11" s="16">
        <f t="shared" si="1"/>
        <v>1</v>
      </c>
      <c r="F11" s="16">
        <f t="shared" si="2"/>
        <v>0.5</v>
      </c>
      <c r="G11" s="16">
        <f t="shared" si="3"/>
        <v>0.5</v>
      </c>
      <c r="H11" s="19"/>
      <c r="I11" s="16">
        <f t="shared" si="4"/>
        <v>270</v>
      </c>
      <c r="J11" s="19"/>
      <c r="K11" s="19"/>
      <c r="L11" s="19"/>
    </row>
    <row r="13">
      <c r="A13" s="2" t="s">
        <v>3</v>
      </c>
      <c r="B13" s="2"/>
    </row>
    <row r="14">
      <c r="A14" s="2" t="s">
        <v>5</v>
      </c>
      <c r="B14" s="20">
        <v>-5.0E-4</v>
      </c>
    </row>
    <row r="15">
      <c r="A15" s="2" t="s">
        <v>7</v>
      </c>
      <c r="B15" s="20">
        <v>1.46</v>
      </c>
    </row>
    <row r="16">
      <c r="A16" s="2" t="s">
        <v>9</v>
      </c>
      <c r="B16" s="2">
        <v>0.001</v>
      </c>
    </row>
  </sheetData>
  <mergeCells count="4">
    <mergeCell ref="H2:H11"/>
    <mergeCell ref="J2:J11"/>
    <mergeCell ref="K2:K11"/>
    <mergeCell ref="L2:L1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1" t="s">
        <v>0</v>
      </c>
      <c r="B1" s="11" t="s">
        <v>20</v>
      </c>
      <c r="C1" s="12" t="s">
        <v>10</v>
      </c>
      <c r="D1" s="21" t="s">
        <v>11</v>
      </c>
      <c r="E1" s="12" t="s">
        <v>12</v>
      </c>
      <c r="F1" s="12" t="s">
        <v>13</v>
      </c>
      <c r="G1" s="12" t="s">
        <v>14</v>
      </c>
      <c r="H1" s="12" t="s">
        <v>15</v>
      </c>
      <c r="I1" s="12" t="s">
        <v>16</v>
      </c>
      <c r="J1" s="12" t="s">
        <v>17</v>
      </c>
      <c r="K1" s="11" t="s">
        <v>5</v>
      </c>
      <c r="L1" s="12" t="s">
        <v>7</v>
      </c>
    </row>
    <row r="2">
      <c r="A2" s="14">
        <v>1.0</v>
      </c>
      <c r="B2" s="14">
        <v>520.0</v>
      </c>
      <c r="C2" s="14">
        <v>0.0</v>
      </c>
      <c r="D2" s="16">
        <f>N3+N4*B2</f>
        <v>6598.8045</v>
      </c>
      <c r="E2" s="16">
        <f t="shared" ref="E2:E31" si="1">EXP(-D2)</f>
        <v>0</v>
      </c>
      <c r="F2" s="14">
        <f t="shared" ref="F2:F31" si="2">1/(1+E2)</f>
        <v>1</v>
      </c>
      <c r="G2" s="14">
        <f t="shared" ref="G2:G31" si="3">F2-C2</f>
        <v>1</v>
      </c>
      <c r="H2" s="17">
        <f>SUM(G2:G31)</f>
        <v>-4.5</v>
      </c>
      <c r="I2" s="16">
        <f t="shared" ref="I2:I31" si="4">G2*B2</f>
        <v>520</v>
      </c>
      <c r="J2" s="17">
        <f>SUM(I2:I31)</f>
        <v>-5940</v>
      </c>
      <c r="K2" s="17">
        <f>N3-N5*H2</f>
        <v>0.009</v>
      </c>
      <c r="L2" s="17">
        <f>N4-N5*J2</f>
        <v>18.63</v>
      </c>
      <c r="M2" s="2" t="s">
        <v>3</v>
      </c>
      <c r="N2" s="2"/>
    </row>
    <row r="3">
      <c r="A3" s="14">
        <v>2.0</v>
      </c>
      <c r="B3" s="14">
        <v>540.0</v>
      </c>
      <c r="C3" s="14">
        <v>0.0</v>
      </c>
      <c r="D3" s="16">
        <f>N3+N4*B3</f>
        <v>6852.6045</v>
      </c>
      <c r="E3" s="16">
        <f t="shared" si="1"/>
        <v>0</v>
      </c>
      <c r="F3" s="14">
        <f t="shared" si="2"/>
        <v>1</v>
      </c>
      <c r="G3" s="14">
        <f t="shared" si="3"/>
        <v>1</v>
      </c>
      <c r="H3" s="18"/>
      <c r="I3" s="16">
        <f t="shared" si="4"/>
        <v>540</v>
      </c>
      <c r="J3" s="18"/>
      <c r="K3" s="18"/>
      <c r="L3" s="18"/>
      <c r="M3" s="2" t="s">
        <v>5</v>
      </c>
      <c r="N3" s="20">
        <v>0.0045</v>
      </c>
    </row>
    <row r="4">
      <c r="A4" s="14">
        <v>3.0</v>
      </c>
      <c r="B4" s="14">
        <v>560.0</v>
      </c>
      <c r="C4" s="14">
        <v>0.0</v>
      </c>
      <c r="D4" s="16">
        <f>N3+N4*B4</f>
        <v>7106.4045</v>
      </c>
      <c r="E4" s="16">
        <f t="shared" si="1"/>
        <v>0</v>
      </c>
      <c r="F4" s="14">
        <f t="shared" si="2"/>
        <v>1</v>
      </c>
      <c r="G4" s="14">
        <f t="shared" si="3"/>
        <v>1</v>
      </c>
      <c r="H4" s="18"/>
      <c r="I4" s="16">
        <f t="shared" si="4"/>
        <v>560</v>
      </c>
      <c r="J4" s="18"/>
      <c r="K4" s="18"/>
      <c r="L4" s="18"/>
      <c r="M4" s="2" t="s">
        <v>7</v>
      </c>
      <c r="N4" s="20">
        <v>12.69</v>
      </c>
    </row>
    <row r="5">
      <c r="A5" s="14">
        <v>4.0</v>
      </c>
      <c r="B5" s="14">
        <v>580.0</v>
      </c>
      <c r="C5" s="14">
        <v>0.0</v>
      </c>
      <c r="D5" s="16">
        <f t="shared" ref="D5:D31" si="5">N6+N7*B5</f>
        <v>0</v>
      </c>
      <c r="E5" s="16">
        <f t="shared" si="1"/>
        <v>1</v>
      </c>
      <c r="F5" s="14">
        <f t="shared" si="2"/>
        <v>0.5</v>
      </c>
      <c r="G5" s="14">
        <f t="shared" si="3"/>
        <v>0.5</v>
      </c>
      <c r="H5" s="18"/>
      <c r="I5" s="16">
        <f t="shared" si="4"/>
        <v>290</v>
      </c>
      <c r="J5" s="18"/>
      <c r="K5" s="18"/>
      <c r="L5" s="18"/>
      <c r="M5" s="2" t="s">
        <v>9</v>
      </c>
      <c r="N5" s="2">
        <v>0.001</v>
      </c>
    </row>
    <row r="6">
      <c r="A6" s="14">
        <v>5.0</v>
      </c>
      <c r="B6" s="14">
        <v>600.0</v>
      </c>
      <c r="C6" s="14">
        <v>0.0</v>
      </c>
      <c r="D6" s="16">
        <f t="shared" si="5"/>
        <v>0</v>
      </c>
      <c r="E6" s="16">
        <f t="shared" si="1"/>
        <v>1</v>
      </c>
      <c r="F6" s="14">
        <f t="shared" si="2"/>
        <v>0.5</v>
      </c>
      <c r="G6" s="14">
        <f t="shared" si="3"/>
        <v>0.5</v>
      </c>
      <c r="H6" s="18"/>
      <c r="I6" s="16">
        <f t="shared" si="4"/>
        <v>300</v>
      </c>
      <c r="J6" s="18"/>
      <c r="K6" s="18"/>
      <c r="L6" s="18"/>
    </row>
    <row r="7">
      <c r="A7" s="14">
        <v>6.0</v>
      </c>
      <c r="B7" s="14">
        <v>620.0</v>
      </c>
      <c r="C7" s="14">
        <v>0.0</v>
      </c>
      <c r="D7" s="16">
        <f t="shared" si="5"/>
        <v>0</v>
      </c>
      <c r="E7" s="16">
        <f t="shared" si="1"/>
        <v>1</v>
      </c>
      <c r="F7" s="14">
        <f t="shared" si="2"/>
        <v>0.5</v>
      </c>
      <c r="G7" s="14">
        <f t="shared" si="3"/>
        <v>0.5</v>
      </c>
      <c r="H7" s="18"/>
      <c r="I7" s="16">
        <f t="shared" si="4"/>
        <v>310</v>
      </c>
      <c r="J7" s="18"/>
      <c r="K7" s="18"/>
      <c r="L7" s="18"/>
    </row>
    <row r="8">
      <c r="A8" s="14">
        <v>7.0</v>
      </c>
      <c r="B8" s="14">
        <v>640.0</v>
      </c>
      <c r="C8" s="14">
        <v>0.0</v>
      </c>
      <c r="D8" s="16">
        <f t="shared" si="5"/>
        <v>0</v>
      </c>
      <c r="E8" s="16">
        <f t="shared" si="1"/>
        <v>1</v>
      </c>
      <c r="F8" s="14">
        <f t="shared" si="2"/>
        <v>0.5</v>
      </c>
      <c r="G8" s="14">
        <f t="shared" si="3"/>
        <v>0.5</v>
      </c>
      <c r="H8" s="18"/>
      <c r="I8" s="16">
        <f t="shared" si="4"/>
        <v>320</v>
      </c>
      <c r="J8" s="18"/>
      <c r="K8" s="18"/>
      <c r="L8" s="18"/>
    </row>
    <row r="9">
      <c r="A9" s="14">
        <v>8.0</v>
      </c>
      <c r="B9" s="14">
        <v>660.0</v>
      </c>
      <c r="C9" s="14">
        <v>0.0</v>
      </c>
      <c r="D9" s="16">
        <f t="shared" si="5"/>
        <v>0</v>
      </c>
      <c r="E9" s="16">
        <f t="shared" si="1"/>
        <v>1</v>
      </c>
      <c r="F9" s="14">
        <f t="shared" si="2"/>
        <v>0.5</v>
      </c>
      <c r="G9" s="14">
        <f t="shared" si="3"/>
        <v>0.5</v>
      </c>
      <c r="H9" s="18"/>
      <c r="I9" s="16">
        <f t="shared" si="4"/>
        <v>330</v>
      </c>
      <c r="J9" s="18"/>
      <c r="K9" s="18"/>
      <c r="L9" s="18"/>
    </row>
    <row r="10">
      <c r="A10" s="14">
        <v>9.0</v>
      </c>
      <c r="B10" s="14">
        <v>680.0</v>
      </c>
      <c r="C10" s="14">
        <v>0.0</v>
      </c>
      <c r="D10" s="16">
        <f t="shared" si="5"/>
        <v>0</v>
      </c>
      <c r="E10" s="16">
        <f t="shared" si="1"/>
        <v>1</v>
      </c>
      <c r="F10" s="14">
        <f t="shared" si="2"/>
        <v>0.5</v>
      </c>
      <c r="G10" s="14">
        <f t="shared" si="3"/>
        <v>0.5</v>
      </c>
      <c r="H10" s="18"/>
      <c r="I10" s="16">
        <f t="shared" si="4"/>
        <v>340</v>
      </c>
      <c r="J10" s="18"/>
      <c r="K10" s="18"/>
      <c r="L10" s="18"/>
    </row>
    <row r="11">
      <c r="A11" s="14">
        <v>10.0</v>
      </c>
      <c r="B11" s="14">
        <v>700.0</v>
      </c>
      <c r="C11" s="14">
        <v>1.0</v>
      </c>
      <c r="D11" s="16">
        <f t="shared" si="5"/>
        <v>0</v>
      </c>
      <c r="E11" s="16">
        <f t="shared" si="1"/>
        <v>1</v>
      </c>
      <c r="F11" s="14">
        <f t="shared" si="2"/>
        <v>0.5</v>
      </c>
      <c r="G11" s="14">
        <f t="shared" si="3"/>
        <v>-0.5</v>
      </c>
      <c r="H11" s="18"/>
      <c r="I11" s="16">
        <f t="shared" si="4"/>
        <v>-350</v>
      </c>
      <c r="J11" s="18"/>
      <c r="K11" s="18"/>
      <c r="L11" s="18"/>
    </row>
    <row r="12">
      <c r="A12" s="14">
        <v>11.0</v>
      </c>
      <c r="B12" s="14">
        <v>720.0</v>
      </c>
      <c r="C12" s="14">
        <v>1.0</v>
      </c>
      <c r="D12" s="16">
        <f t="shared" si="5"/>
        <v>0</v>
      </c>
      <c r="E12" s="16">
        <f t="shared" si="1"/>
        <v>1</v>
      </c>
      <c r="F12" s="14">
        <f t="shared" si="2"/>
        <v>0.5</v>
      </c>
      <c r="G12" s="14">
        <f t="shared" si="3"/>
        <v>-0.5</v>
      </c>
      <c r="H12" s="18"/>
      <c r="I12" s="16">
        <f t="shared" si="4"/>
        <v>-360</v>
      </c>
      <c r="J12" s="18"/>
      <c r="K12" s="18"/>
      <c r="L12" s="18"/>
    </row>
    <row r="13">
      <c r="A13" s="14">
        <v>12.0</v>
      </c>
      <c r="B13" s="14">
        <v>740.0</v>
      </c>
      <c r="C13" s="14">
        <v>1.0</v>
      </c>
      <c r="D13" s="16">
        <f t="shared" si="5"/>
        <v>0</v>
      </c>
      <c r="E13" s="16">
        <f t="shared" si="1"/>
        <v>1</v>
      </c>
      <c r="F13" s="14">
        <f t="shared" si="2"/>
        <v>0.5</v>
      </c>
      <c r="G13" s="14">
        <f t="shared" si="3"/>
        <v>-0.5</v>
      </c>
      <c r="H13" s="18"/>
      <c r="I13" s="16">
        <f t="shared" si="4"/>
        <v>-370</v>
      </c>
      <c r="J13" s="18"/>
      <c r="K13" s="18"/>
      <c r="L13" s="18"/>
    </row>
    <row r="14">
      <c r="A14" s="14">
        <v>13.0</v>
      </c>
      <c r="B14" s="14">
        <v>760.0</v>
      </c>
      <c r="C14" s="14">
        <v>1.0</v>
      </c>
      <c r="D14" s="16">
        <f t="shared" si="5"/>
        <v>0</v>
      </c>
      <c r="E14" s="16">
        <f t="shared" si="1"/>
        <v>1</v>
      </c>
      <c r="F14" s="14">
        <f t="shared" si="2"/>
        <v>0.5</v>
      </c>
      <c r="G14" s="14">
        <f t="shared" si="3"/>
        <v>-0.5</v>
      </c>
      <c r="H14" s="18"/>
      <c r="I14" s="16">
        <f t="shared" si="4"/>
        <v>-380</v>
      </c>
      <c r="J14" s="18"/>
      <c r="K14" s="18"/>
      <c r="L14" s="18"/>
    </row>
    <row r="15">
      <c r="A15" s="14">
        <v>14.0</v>
      </c>
      <c r="B15" s="14">
        <v>780.0</v>
      </c>
      <c r="C15" s="14">
        <v>1.0</v>
      </c>
      <c r="D15" s="16">
        <f t="shared" si="5"/>
        <v>0</v>
      </c>
      <c r="E15" s="16">
        <f t="shared" si="1"/>
        <v>1</v>
      </c>
      <c r="F15" s="14">
        <f t="shared" si="2"/>
        <v>0.5</v>
      </c>
      <c r="G15" s="14">
        <f t="shared" si="3"/>
        <v>-0.5</v>
      </c>
      <c r="H15" s="18"/>
      <c r="I15" s="16">
        <f t="shared" si="4"/>
        <v>-390</v>
      </c>
      <c r="J15" s="18"/>
      <c r="K15" s="18"/>
      <c r="L15" s="18"/>
    </row>
    <row r="16">
      <c r="A16" s="14">
        <v>15.0</v>
      </c>
      <c r="B16" s="14">
        <v>800.0</v>
      </c>
      <c r="C16" s="14">
        <v>1.0</v>
      </c>
      <c r="D16" s="16">
        <f t="shared" si="5"/>
        <v>0</v>
      </c>
      <c r="E16" s="16">
        <f t="shared" si="1"/>
        <v>1</v>
      </c>
      <c r="F16" s="14">
        <f t="shared" si="2"/>
        <v>0.5</v>
      </c>
      <c r="G16" s="14">
        <f t="shared" si="3"/>
        <v>-0.5</v>
      </c>
      <c r="H16" s="18"/>
      <c r="I16" s="16">
        <f t="shared" si="4"/>
        <v>-400</v>
      </c>
      <c r="J16" s="18"/>
      <c r="K16" s="18"/>
      <c r="L16" s="18"/>
    </row>
    <row r="17">
      <c r="A17" s="14">
        <v>16.0</v>
      </c>
      <c r="B17" s="14">
        <v>820.0</v>
      </c>
      <c r="C17" s="14">
        <v>1.0</v>
      </c>
      <c r="D17" s="16">
        <f t="shared" si="5"/>
        <v>0</v>
      </c>
      <c r="E17" s="16">
        <f t="shared" si="1"/>
        <v>1</v>
      </c>
      <c r="F17" s="14">
        <f t="shared" si="2"/>
        <v>0.5</v>
      </c>
      <c r="G17" s="14">
        <f t="shared" si="3"/>
        <v>-0.5</v>
      </c>
      <c r="H17" s="18"/>
      <c r="I17" s="16">
        <f t="shared" si="4"/>
        <v>-410</v>
      </c>
      <c r="J17" s="18"/>
      <c r="K17" s="18"/>
      <c r="L17" s="18"/>
    </row>
    <row r="18">
      <c r="A18" s="14">
        <v>17.0</v>
      </c>
      <c r="B18" s="14">
        <v>840.0</v>
      </c>
      <c r="C18" s="14">
        <v>1.0</v>
      </c>
      <c r="D18" s="16">
        <f t="shared" si="5"/>
        <v>0</v>
      </c>
      <c r="E18" s="16">
        <f t="shared" si="1"/>
        <v>1</v>
      </c>
      <c r="F18" s="14">
        <f t="shared" si="2"/>
        <v>0.5</v>
      </c>
      <c r="G18" s="14">
        <f t="shared" si="3"/>
        <v>-0.5</v>
      </c>
      <c r="H18" s="18"/>
      <c r="I18" s="16">
        <f t="shared" si="4"/>
        <v>-420</v>
      </c>
      <c r="J18" s="18"/>
      <c r="K18" s="18"/>
      <c r="L18" s="18"/>
    </row>
    <row r="19">
      <c r="A19" s="14">
        <v>18.0</v>
      </c>
      <c r="B19" s="14">
        <v>860.0</v>
      </c>
      <c r="C19" s="14">
        <v>1.0</v>
      </c>
      <c r="D19" s="16">
        <f t="shared" si="5"/>
        <v>0</v>
      </c>
      <c r="E19" s="16">
        <f t="shared" si="1"/>
        <v>1</v>
      </c>
      <c r="F19" s="14">
        <f t="shared" si="2"/>
        <v>0.5</v>
      </c>
      <c r="G19" s="14">
        <f t="shared" si="3"/>
        <v>-0.5</v>
      </c>
      <c r="H19" s="18"/>
      <c r="I19" s="16">
        <f t="shared" si="4"/>
        <v>-430</v>
      </c>
      <c r="J19" s="18"/>
      <c r="K19" s="18"/>
      <c r="L19" s="18"/>
    </row>
    <row r="20">
      <c r="A20" s="14">
        <v>19.0</v>
      </c>
      <c r="B20" s="14">
        <v>880.0</v>
      </c>
      <c r="C20" s="14">
        <v>1.0</v>
      </c>
      <c r="D20" s="16">
        <f t="shared" si="5"/>
        <v>0</v>
      </c>
      <c r="E20" s="16">
        <f t="shared" si="1"/>
        <v>1</v>
      </c>
      <c r="F20" s="14">
        <f t="shared" si="2"/>
        <v>0.5</v>
      </c>
      <c r="G20" s="14">
        <f t="shared" si="3"/>
        <v>-0.5</v>
      </c>
      <c r="H20" s="18"/>
      <c r="I20" s="16">
        <f t="shared" si="4"/>
        <v>-440</v>
      </c>
      <c r="J20" s="18"/>
      <c r="K20" s="18"/>
      <c r="L20" s="18"/>
    </row>
    <row r="21">
      <c r="A21" s="14">
        <v>20.0</v>
      </c>
      <c r="B21" s="14">
        <v>900.0</v>
      </c>
      <c r="C21" s="14">
        <v>1.0</v>
      </c>
      <c r="D21" s="16">
        <f t="shared" si="5"/>
        <v>0</v>
      </c>
      <c r="E21" s="16">
        <f t="shared" si="1"/>
        <v>1</v>
      </c>
      <c r="F21" s="14">
        <f t="shared" si="2"/>
        <v>0.5</v>
      </c>
      <c r="G21" s="14">
        <f t="shared" si="3"/>
        <v>-0.5</v>
      </c>
      <c r="H21" s="18"/>
      <c r="I21" s="16">
        <f t="shared" si="4"/>
        <v>-450</v>
      </c>
      <c r="J21" s="18"/>
      <c r="K21" s="18"/>
      <c r="L21" s="18"/>
    </row>
    <row r="22">
      <c r="A22" s="14">
        <v>21.0</v>
      </c>
      <c r="B22" s="14">
        <v>920.0</v>
      </c>
      <c r="C22" s="14">
        <v>1.0</v>
      </c>
      <c r="D22" s="16">
        <f t="shared" si="5"/>
        <v>0</v>
      </c>
      <c r="E22" s="16">
        <f t="shared" si="1"/>
        <v>1</v>
      </c>
      <c r="F22" s="14">
        <f t="shared" si="2"/>
        <v>0.5</v>
      </c>
      <c r="G22" s="14">
        <f t="shared" si="3"/>
        <v>-0.5</v>
      </c>
      <c r="H22" s="18"/>
      <c r="I22" s="16">
        <f t="shared" si="4"/>
        <v>-460</v>
      </c>
      <c r="J22" s="18"/>
      <c r="K22" s="18"/>
      <c r="L22" s="18"/>
    </row>
    <row r="23">
      <c r="A23" s="14">
        <v>22.0</v>
      </c>
      <c r="B23" s="14">
        <v>940.0</v>
      </c>
      <c r="C23" s="14">
        <v>1.0</v>
      </c>
      <c r="D23" s="16">
        <f t="shared" si="5"/>
        <v>0</v>
      </c>
      <c r="E23" s="16">
        <f t="shared" si="1"/>
        <v>1</v>
      </c>
      <c r="F23" s="14">
        <f t="shared" si="2"/>
        <v>0.5</v>
      </c>
      <c r="G23" s="14">
        <f t="shared" si="3"/>
        <v>-0.5</v>
      </c>
      <c r="H23" s="18"/>
      <c r="I23" s="16">
        <f t="shared" si="4"/>
        <v>-470</v>
      </c>
      <c r="J23" s="18"/>
      <c r="K23" s="18"/>
      <c r="L23" s="18"/>
    </row>
    <row r="24">
      <c r="A24" s="14">
        <v>23.0</v>
      </c>
      <c r="B24" s="14">
        <v>960.0</v>
      </c>
      <c r="C24" s="14">
        <v>1.0</v>
      </c>
      <c r="D24" s="16">
        <f t="shared" si="5"/>
        <v>0</v>
      </c>
      <c r="E24" s="16">
        <f t="shared" si="1"/>
        <v>1</v>
      </c>
      <c r="F24" s="14">
        <f t="shared" si="2"/>
        <v>0.5</v>
      </c>
      <c r="G24" s="14">
        <f t="shared" si="3"/>
        <v>-0.5</v>
      </c>
      <c r="H24" s="18"/>
      <c r="I24" s="16">
        <f t="shared" si="4"/>
        <v>-480</v>
      </c>
      <c r="J24" s="18"/>
      <c r="K24" s="18"/>
      <c r="L24" s="18"/>
    </row>
    <row r="25">
      <c r="A25" s="14">
        <v>24.0</v>
      </c>
      <c r="B25" s="14">
        <v>980.0</v>
      </c>
      <c r="C25" s="14">
        <v>1.0</v>
      </c>
      <c r="D25" s="16">
        <f t="shared" si="5"/>
        <v>0</v>
      </c>
      <c r="E25" s="16">
        <f t="shared" si="1"/>
        <v>1</v>
      </c>
      <c r="F25" s="14">
        <f t="shared" si="2"/>
        <v>0.5</v>
      </c>
      <c r="G25" s="14">
        <f t="shared" si="3"/>
        <v>-0.5</v>
      </c>
      <c r="H25" s="18"/>
      <c r="I25" s="16">
        <f t="shared" si="4"/>
        <v>-490</v>
      </c>
      <c r="J25" s="18"/>
      <c r="K25" s="18"/>
      <c r="L25" s="18"/>
    </row>
    <row r="26">
      <c r="A26" s="14">
        <v>25.0</v>
      </c>
      <c r="B26" s="14">
        <v>1000.0</v>
      </c>
      <c r="C26" s="14">
        <v>1.0</v>
      </c>
      <c r="D26" s="16">
        <f t="shared" si="5"/>
        <v>0</v>
      </c>
      <c r="E26" s="16">
        <f t="shared" si="1"/>
        <v>1</v>
      </c>
      <c r="F26" s="14">
        <f t="shared" si="2"/>
        <v>0.5</v>
      </c>
      <c r="G26" s="14">
        <f t="shared" si="3"/>
        <v>-0.5</v>
      </c>
      <c r="H26" s="18"/>
      <c r="I26" s="16">
        <f t="shared" si="4"/>
        <v>-500</v>
      </c>
      <c r="J26" s="18"/>
      <c r="K26" s="18"/>
      <c r="L26" s="18"/>
    </row>
    <row r="27">
      <c r="A27" s="14">
        <v>26.0</v>
      </c>
      <c r="B27" s="14">
        <v>1020.0</v>
      </c>
      <c r="C27" s="14">
        <v>1.0</v>
      </c>
      <c r="D27" s="16">
        <f t="shared" si="5"/>
        <v>0</v>
      </c>
      <c r="E27" s="16">
        <f t="shared" si="1"/>
        <v>1</v>
      </c>
      <c r="F27" s="14">
        <f t="shared" si="2"/>
        <v>0.5</v>
      </c>
      <c r="G27" s="14">
        <f t="shared" si="3"/>
        <v>-0.5</v>
      </c>
      <c r="H27" s="18"/>
      <c r="I27" s="16">
        <f t="shared" si="4"/>
        <v>-510</v>
      </c>
      <c r="J27" s="18"/>
      <c r="K27" s="18"/>
      <c r="L27" s="18"/>
    </row>
    <row r="28">
      <c r="A28" s="14">
        <v>27.0</v>
      </c>
      <c r="B28" s="14">
        <v>1040.0</v>
      </c>
      <c r="C28" s="14">
        <v>1.0</v>
      </c>
      <c r="D28" s="16">
        <f t="shared" si="5"/>
        <v>0</v>
      </c>
      <c r="E28" s="16">
        <f t="shared" si="1"/>
        <v>1</v>
      </c>
      <c r="F28" s="14">
        <f t="shared" si="2"/>
        <v>0.5</v>
      </c>
      <c r="G28" s="14">
        <f t="shared" si="3"/>
        <v>-0.5</v>
      </c>
      <c r="H28" s="18"/>
      <c r="I28" s="16">
        <f t="shared" si="4"/>
        <v>-520</v>
      </c>
      <c r="J28" s="18"/>
      <c r="K28" s="18"/>
      <c r="L28" s="18"/>
    </row>
    <row r="29">
      <c r="A29" s="14">
        <v>28.0</v>
      </c>
      <c r="B29" s="14">
        <v>1060.0</v>
      </c>
      <c r="C29" s="14">
        <v>1.0</v>
      </c>
      <c r="D29" s="16">
        <f t="shared" si="5"/>
        <v>0</v>
      </c>
      <c r="E29" s="16">
        <f t="shared" si="1"/>
        <v>1</v>
      </c>
      <c r="F29" s="14">
        <f t="shared" si="2"/>
        <v>0.5</v>
      </c>
      <c r="G29" s="14">
        <f t="shared" si="3"/>
        <v>-0.5</v>
      </c>
      <c r="H29" s="18"/>
      <c r="I29" s="16">
        <f t="shared" si="4"/>
        <v>-530</v>
      </c>
      <c r="J29" s="18"/>
      <c r="K29" s="18"/>
      <c r="L29" s="18"/>
    </row>
    <row r="30">
      <c r="A30" s="14">
        <v>29.0</v>
      </c>
      <c r="B30" s="14">
        <v>1080.0</v>
      </c>
      <c r="C30" s="14">
        <v>1.0</v>
      </c>
      <c r="D30" s="16">
        <f t="shared" si="5"/>
        <v>0</v>
      </c>
      <c r="E30" s="16">
        <f t="shared" si="1"/>
        <v>1</v>
      </c>
      <c r="F30" s="14">
        <f t="shared" si="2"/>
        <v>0.5</v>
      </c>
      <c r="G30" s="14">
        <f t="shared" si="3"/>
        <v>-0.5</v>
      </c>
      <c r="H30" s="18"/>
      <c r="I30" s="16">
        <f t="shared" si="4"/>
        <v>-540</v>
      </c>
      <c r="J30" s="18"/>
      <c r="K30" s="18"/>
      <c r="L30" s="18"/>
    </row>
    <row r="31">
      <c r="A31" s="14">
        <v>30.0</v>
      </c>
      <c r="B31" s="14">
        <v>1100.0</v>
      </c>
      <c r="C31" s="14">
        <v>1.0</v>
      </c>
      <c r="D31" s="16">
        <f t="shared" si="5"/>
        <v>0</v>
      </c>
      <c r="E31" s="16">
        <f t="shared" si="1"/>
        <v>1</v>
      </c>
      <c r="F31" s="14">
        <f t="shared" si="2"/>
        <v>0.5</v>
      </c>
      <c r="G31" s="14">
        <f t="shared" si="3"/>
        <v>-0.5</v>
      </c>
      <c r="H31" s="19"/>
      <c r="I31" s="16">
        <f t="shared" si="4"/>
        <v>-550</v>
      </c>
      <c r="J31" s="19"/>
      <c r="K31" s="19"/>
      <c r="L31" s="19"/>
    </row>
  </sheetData>
  <mergeCells count="4">
    <mergeCell ref="H2:H31"/>
    <mergeCell ref="J2:J31"/>
    <mergeCell ref="K2:K31"/>
    <mergeCell ref="L2:L3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2" t="s">
        <v>21</v>
      </c>
      <c r="B1" s="22" t="s">
        <v>11</v>
      </c>
      <c r="C1" s="22" t="s">
        <v>22</v>
      </c>
    </row>
    <row r="2">
      <c r="A2" s="14">
        <v>520.0</v>
      </c>
      <c r="B2" s="23">
        <v>0.0</v>
      </c>
      <c r="C2" s="23">
        <v>1.0</v>
      </c>
    </row>
    <row r="3">
      <c r="A3" s="14">
        <v>540.0</v>
      </c>
      <c r="B3" s="23">
        <v>0.0</v>
      </c>
      <c r="C3" s="23">
        <v>1.0</v>
      </c>
    </row>
    <row r="4">
      <c r="A4" s="14">
        <v>560.0</v>
      </c>
      <c r="B4" s="23">
        <v>0.0</v>
      </c>
      <c r="C4" s="23">
        <v>1.0</v>
      </c>
    </row>
    <row r="5">
      <c r="A5" s="14">
        <v>580.0</v>
      </c>
      <c r="B5" s="23">
        <v>0.0</v>
      </c>
      <c r="C5" s="23">
        <v>0.5</v>
      </c>
    </row>
    <row r="6">
      <c r="A6" s="14">
        <v>600.0</v>
      </c>
      <c r="B6" s="23">
        <v>0.0</v>
      </c>
      <c r="C6" s="23">
        <v>0.5</v>
      </c>
    </row>
    <row r="7">
      <c r="A7" s="14">
        <v>620.0</v>
      </c>
      <c r="B7" s="23">
        <v>0.0</v>
      </c>
      <c r="C7" s="23">
        <v>0.5</v>
      </c>
    </row>
    <row r="8">
      <c r="A8" s="14">
        <v>640.0</v>
      </c>
      <c r="B8" s="23">
        <v>0.0</v>
      </c>
      <c r="C8" s="23">
        <v>0.5</v>
      </c>
    </row>
    <row r="9">
      <c r="A9" s="14">
        <v>660.0</v>
      </c>
      <c r="B9" s="23">
        <v>0.0</v>
      </c>
      <c r="C9" s="23">
        <v>0.5</v>
      </c>
    </row>
    <row r="10">
      <c r="A10" s="14">
        <v>680.0</v>
      </c>
      <c r="B10" s="23">
        <v>0.0</v>
      </c>
      <c r="C10" s="23">
        <v>0.5</v>
      </c>
    </row>
    <row r="11">
      <c r="A11" s="14">
        <v>700.0</v>
      </c>
      <c r="B11" s="23">
        <v>0.0</v>
      </c>
      <c r="C11" s="23">
        <v>0.5</v>
      </c>
    </row>
    <row r="12">
      <c r="A12" s="14">
        <v>720.0</v>
      </c>
      <c r="B12" s="23">
        <v>0.0</v>
      </c>
      <c r="C12" s="23">
        <v>0.5</v>
      </c>
    </row>
    <row r="13">
      <c r="A13" s="14">
        <v>740.0</v>
      </c>
      <c r="B13" s="23">
        <v>0.0</v>
      </c>
      <c r="C13" s="23">
        <v>0.5</v>
      </c>
    </row>
    <row r="14">
      <c r="A14" s="14">
        <v>760.0</v>
      </c>
      <c r="B14" s="23">
        <v>0.0</v>
      </c>
      <c r="C14" s="23">
        <v>0.5</v>
      </c>
    </row>
    <row r="15">
      <c r="A15" s="14">
        <v>780.0</v>
      </c>
      <c r="B15" s="23">
        <v>0.0</v>
      </c>
      <c r="C15" s="23">
        <v>0.5</v>
      </c>
    </row>
    <row r="16">
      <c r="A16" s="14">
        <v>800.0</v>
      </c>
      <c r="B16" s="23">
        <v>0.0</v>
      </c>
      <c r="C16" s="23">
        <v>0.5</v>
      </c>
    </row>
    <row r="17">
      <c r="A17" s="14">
        <v>820.0</v>
      </c>
      <c r="B17" s="23">
        <v>0.0</v>
      </c>
      <c r="C17" s="23">
        <v>0.5</v>
      </c>
    </row>
    <row r="18">
      <c r="A18" s="14">
        <v>840.0</v>
      </c>
      <c r="B18" s="23">
        <v>0.0</v>
      </c>
      <c r="C18" s="23">
        <v>0.5</v>
      </c>
    </row>
    <row r="19">
      <c r="A19" s="14">
        <v>860.0</v>
      </c>
      <c r="B19" s="23">
        <v>0.0</v>
      </c>
      <c r="C19" s="23">
        <v>0.5</v>
      </c>
    </row>
    <row r="20">
      <c r="A20" s="14">
        <v>880.0</v>
      </c>
      <c r="B20" s="23">
        <v>0.0</v>
      </c>
      <c r="C20" s="23">
        <v>0.5</v>
      </c>
    </row>
    <row r="21">
      <c r="A21" s="14">
        <v>900.0</v>
      </c>
      <c r="B21" s="23">
        <v>0.0</v>
      </c>
      <c r="C21" s="23">
        <v>0.5</v>
      </c>
    </row>
    <row r="22">
      <c r="A22" s="14">
        <v>920.0</v>
      </c>
      <c r="B22" s="23">
        <v>0.0</v>
      </c>
      <c r="C22" s="23">
        <v>0.5</v>
      </c>
    </row>
    <row r="23">
      <c r="A23" s="14">
        <v>940.0</v>
      </c>
      <c r="B23" s="23">
        <v>0.0</v>
      </c>
      <c r="C23" s="23">
        <v>0.5</v>
      </c>
    </row>
    <row r="24">
      <c r="A24" s="14">
        <v>960.0</v>
      </c>
      <c r="B24" s="23">
        <v>0.0</v>
      </c>
      <c r="C24" s="23">
        <v>0.5</v>
      </c>
    </row>
    <row r="25">
      <c r="A25" s="14">
        <v>980.0</v>
      </c>
      <c r="B25" s="23">
        <v>0.0</v>
      </c>
      <c r="C25" s="23">
        <v>0.5</v>
      </c>
    </row>
    <row r="26">
      <c r="A26" s="14">
        <v>1000.0</v>
      </c>
      <c r="B26" s="23">
        <v>0.0</v>
      </c>
      <c r="C26" s="23">
        <v>0.5</v>
      </c>
    </row>
    <row r="27">
      <c r="A27" s="14">
        <v>1020.0</v>
      </c>
      <c r="B27" s="23">
        <v>0.0</v>
      </c>
      <c r="C27" s="23">
        <v>0.5</v>
      </c>
    </row>
    <row r="28">
      <c r="A28" s="14">
        <v>1040.0</v>
      </c>
      <c r="B28" s="23">
        <v>0.0</v>
      </c>
      <c r="C28" s="23">
        <v>0.5</v>
      </c>
    </row>
    <row r="29">
      <c r="A29" s="14">
        <v>1060.0</v>
      </c>
      <c r="B29" s="23">
        <v>0.0</v>
      </c>
      <c r="C29" s="23">
        <v>0.5</v>
      </c>
    </row>
    <row r="30">
      <c r="A30" s="14">
        <v>1080.0</v>
      </c>
      <c r="B30" s="23">
        <v>0.0</v>
      </c>
      <c r="C30" s="23">
        <v>0.5</v>
      </c>
    </row>
    <row r="31">
      <c r="A31" s="14">
        <v>1100.0</v>
      </c>
      <c r="B31" s="23">
        <v>0.0</v>
      </c>
      <c r="C31" s="23">
        <v>0.5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" width="8.63"/>
    <col customWidth="1" min="8" max="8" width="11.88"/>
    <col customWidth="1" min="9" max="9" width="8.63"/>
    <col customWidth="1" min="10" max="10" width="12.38"/>
    <col customWidth="1" min="11" max="26" width="8.63"/>
  </cols>
  <sheetData>
    <row r="2">
      <c r="A2" s="10" t="s">
        <v>3</v>
      </c>
      <c r="E2" s="10" t="s">
        <v>4</v>
      </c>
    </row>
    <row r="3">
      <c r="A3" s="24" t="s">
        <v>5</v>
      </c>
      <c r="B3" s="10">
        <v>0.0</v>
      </c>
      <c r="E3" s="24" t="s">
        <v>6</v>
      </c>
    </row>
    <row r="4">
      <c r="A4" s="24" t="s">
        <v>7</v>
      </c>
      <c r="B4" s="10">
        <v>0.045</v>
      </c>
      <c r="E4" s="24" t="s">
        <v>8</v>
      </c>
    </row>
    <row r="5">
      <c r="A5" s="10" t="s">
        <v>9</v>
      </c>
      <c r="B5" s="10">
        <v>0.001</v>
      </c>
    </row>
    <row r="7">
      <c r="A7" s="3" t="s">
        <v>0</v>
      </c>
      <c r="B7" s="3" t="s">
        <v>1</v>
      </c>
      <c r="C7" s="3" t="s">
        <v>10</v>
      </c>
      <c r="D7" s="7" t="s">
        <v>11</v>
      </c>
      <c r="E7" s="3" t="s">
        <v>12</v>
      </c>
      <c r="F7" s="3" t="s">
        <v>13</v>
      </c>
      <c r="G7" s="3" t="s">
        <v>14</v>
      </c>
      <c r="H7" s="3" t="s">
        <v>15</v>
      </c>
      <c r="I7" s="3" t="s">
        <v>16</v>
      </c>
      <c r="J7" s="3" t="s">
        <v>17</v>
      </c>
      <c r="K7" s="3" t="s">
        <v>5</v>
      </c>
      <c r="L7" s="3" t="s">
        <v>7</v>
      </c>
    </row>
    <row r="8">
      <c r="A8" s="25">
        <v>1.0</v>
      </c>
      <c r="B8" s="25">
        <v>40.0</v>
      </c>
      <c r="C8" s="25">
        <v>0.0</v>
      </c>
      <c r="D8" s="7">
        <f>B3+B4*B8</f>
        <v>1.8</v>
      </c>
      <c r="E8" s="8">
        <f t="shared" ref="E8:E13" si="1">EXP(-D8)</f>
        <v>0.1652988882</v>
      </c>
      <c r="F8" s="8">
        <f t="shared" ref="F8:F13" si="2">1/(1+E8)</f>
        <v>0.8581489351</v>
      </c>
      <c r="G8" s="7">
        <f t="shared" ref="G8:G13" si="3">F8-C8</f>
        <v>0.8581489351</v>
      </c>
      <c r="H8" s="7">
        <f>SUM(G8:G13)</f>
        <v>2.615013809</v>
      </c>
      <c r="I8" s="7">
        <f t="shared" ref="I8:I13" si="4">G8*B8</f>
        <v>34.3259574</v>
      </c>
      <c r="J8" s="7">
        <f>SUM(I8:I13)</f>
        <v>129.2347708</v>
      </c>
      <c r="K8" s="7">
        <f>B3-B5*H8</f>
        <v>-0.002615013809</v>
      </c>
      <c r="L8" s="7">
        <f>B4-B5*J8</f>
        <v>-0.08423477084</v>
      </c>
    </row>
    <row r="9">
      <c r="A9" s="25">
        <v>2.0</v>
      </c>
      <c r="B9" s="25">
        <v>50.0</v>
      </c>
      <c r="C9" s="25">
        <v>0.0</v>
      </c>
      <c r="D9" s="7">
        <f>B3+B4*B9</f>
        <v>2.25</v>
      </c>
      <c r="E9" s="8">
        <f t="shared" si="1"/>
        <v>0.1053992246</v>
      </c>
      <c r="F9" s="8">
        <f t="shared" si="2"/>
        <v>0.9046505351</v>
      </c>
      <c r="G9" s="7">
        <f t="shared" si="3"/>
        <v>0.9046505351</v>
      </c>
      <c r="H9" s="8"/>
      <c r="I9" s="7">
        <f t="shared" si="4"/>
        <v>45.23252676</v>
      </c>
      <c r="J9" s="8"/>
      <c r="K9" s="8"/>
      <c r="L9" s="8"/>
    </row>
    <row r="10">
      <c r="A10" s="25">
        <v>3.0</v>
      </c>
      <c r="B10" s="25">
        <v>60.0</v>
      </c>
      <c r="C10" s="25">
        <v>0.0</v>
      </c>
      <c r="D10" s="7">
        <f>B3+B4*B10</f>
        <v>2.7</v>
      </c>
      <c r="E10" s="8">
        <f t="shared" si="1"/>
        <v>0.06720551274</v>
      </c>
      <c r="F10" s="8">
        <f t="shared" si="2"/>
        <v>0.9370266439</v>
      </c>
      <c r="G10" s="7">
        <f t="shared" si="3"/>
        <v>0.9370266439</v>
      </c>
      <c r="H10" s="8"/>
      <c r="I10" s="7">
        <f t="shared" si="4"/>
        <v>56.22159864</v>
      </c>
      <c r="J10" s="8"/>
      <c r="K10" s="8"/>
      <c r="L10" s="8"/>
    </row>
    <row r="11">
      <c r="A11" s="25">
        <v>4.0</v>
      </c>
      <c r="B11" s="25">
        <v>70.0</v>
      </c>
      <c r="C11" s="25">
        <v>1.0</v>
      </c>
      <c r="D11" s="7">
        <f>B3+B4*B11</f>
        <v>3.15</v>
      </c>
      <c r="E11" s="8">
        <f t="shared" si="1"/>
        <v>0.04285212687</v>
      </c>
      <c r="F11" s="8">
        <f t="shared" si="2"/>
        <v>0.9589087218</v>
      </c>
      <c r="G11" s="7">
        <f t="shared" si="3"/>
        <v>-0.0410912782</v>
      </c>
      <c r="H11" s="8"/>
      <c r="I11" s="7">
        <f t="shared" si="4"/>
        <v>-2.876389474</v>
      </c>
      <c r="J11" s="8"/>
      <c r="K11" s="8"/>
      <c r="L11" s="8"/>
    </row>
    <row r="12">
      <c r="A12" s="25">
        <v>5.0</v>
      </c>
      <c r="B12" s="25">
        <v>80.0</v>
      </c>
      <c r="C12" s="25">
        <v>1.0</v>
      </c>
      <c r="D12" s="7">
        <f>B3+B4*B12</f>
        <v>3.6</v>
      </c>
      <c r="E12" s="8">
        <f t="shared" si="1"/>
        <v>0.02732372245</v>
      </c>
      <c r="F12" s="8">
        <f t="shared" si="2"/>
        <v>0.9734030064</v>
      </c>
      <c r="G12" s="7">
        <f t="shared" si="3"/>
        <v>-0.02659699358</v>
      </c>
      <c r="H12" s="8"/>
      <c r="I12" s="7">
        <f t="shared" si="4"/>
        <v>-2.127759486</v>
      </c>
      <c r="J12" s="8"/>
      <c r="K12" s="8"/>
      <c r="L12" s="8"/>
    </row>
    <row r="13">
      <c r="A13" s="25">
        <v>6.0</v>
      </c>
      <c r="B13" s="25">
        <v>90.0</v>
      </c>
      <c r="C13" s="25">
        <v>1.0</v>
      </c>
      <c r="D13" s="7">
        <f>B3+B4*B13</f>
        <v>4.05</v>
      </c>
      <c r="E13" s="8">
        <f t="shared" si="1"/>
        <v>0.01742237464</v>
      </c>
      <c r="F13" s="8">
        <f t="shared" si="2"/>
        <v>0.9828759667</v>
      </c>
      <c r="G13" s="7">
        <f t="shared" si="3"/>
        <v>-0.01712403332</v>
      </c>
      <c r="H13" s="8"/>
      <c r="I13" s="7">
        <f t="shared" si="4"/>
        <v>-1.541162998</v>
      </c>
      <c r="J13" s="8"/>
      <c r="K13" s="8"/>
      <c r="L13" s="8"/>
    </row>
    <row r="16">
      <c r="G16" s="10" t="s">
        <v>18</v>
      </c>
      <c r="I16" s="10" t="s">
        <v>23</v>
      </c>
    </row>
    <row r="19">
      <c r="F19" s="10" t="s">
        <v>24</v>
      </c>
      <c r="H19" s="10" t="s">
        <v>25</v>
      </c>
    </row>
    <row r="21" ht="15.75" customHeight="1">
      <c r="G21" s="10" t="s">
        <v>26</v>
      </c>
      <c r="H21" s="10" t="s">
        <v>27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17.88"/>
    <col customWidth="1" min="3" max="3" width="10.63"/>
    <col customWidth="1" min="4" max="26" width="8.63"/>
  </cols>
  <sheetData>
    <row r="1">
      <c r="A1" s="26" t="s">
        <v>28</v>
      </c>
      <c r="B1" s="26" t="s">
        <v>29</v>
      </c>
      <c r="C1" s="26" t="s">
        <v>30</v>
      </c>
    </row>
    <row r="2">
      <c r="A2" s="26">
        <v>30.0</v>
      </c>
      <c r="B2" s="26">
        <v>-6.0</v>
      </c>
      <c r="C2" s="26">
        <v>0.002</v>
      </c>
    </row>
    <row r="3">
      <c r="A3" s="26">
        <v>40.0</v>
      </c>
      <c r="B3" s="26">
        <v>-4.0</v>
      </c>
      <c r="C3" s="26">
        <v>0.018</v>
      </c>
    </row>
    <row r="4">
      <c r="A4" s="26">
        <v>50.0</v>
      </c>
      <c r="B4" s="26">
        <v>-2.0</v>
      </c>
      <c r="C4" s="26">
        <v>0.119</v>
      </c>
    </row>
    <row r="5">
      <c r="A5" s="26">
        <v>60.0</v>
      </c>
      <c r="B5" s="26">
        <v>0.0</v>
      </c>
      <c r="C5" s="26">
        <v>0.5</v>
      </c>
    </row>
    <row r="6">
      <c r="A6" s="26">
        <v>70.0</v>
      </c>
      <c r="B6" s="26">
        <v>2.0</v>
      </c>
      <c r="C6" s="26">
        <v>0.881</v>
      </c>
    </row>
    <row r="7">
      <c r="A7" s="26">
        <v>80.0</v>
      </c>
      <c r="B7" s="26">
        <v>4.0</v>
      </c>
      <c r="C7" s="26">
        <v>0.982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8.63"/>
    <col customWidth="1" min="3" max="3" width="13.0"/>
    <col customWidth="1" min="4" max="26" width="8.63"/>
  </cols>
  <sheetData>
    <row r="1">
      <c r="A1" s="27" t="s">
        <v>28</v>
      </c>
      <c r="B1" s="27" t="s">
        <v>31</v>
      </c>
      <c r="C1" s="27" t="s">
        <v>30</v>
      </c>
    </row>
    <row r="2">
      <c r="A2" s="28">
        <v>30.0</v>
      </c>
      <c r="B2" s="28">
        <v>-6.0</v>
      </c>
      <c r="C2" s="28">
        <v>0.002</v>
      </c>
    </row>
    <row r="3">
      <c r="A3" s="28">
        <v>35.0</v>
      </c>
      <c r="B3" s="28">
        <v>-5.0</v>
      </c>
      <c r="C3" s="28">
        <v>0.007</v>
      </c>
    </row>
    <row r="4">
      <c r="A4" s="28">
        <v>40.0</v>
      </c>
      <c r="B4" s="28">
        <v>-4.0</v>
      </c>
      <c r="C4" s="28">
        <v>0.018</v>
      </c>
    </row>
    <row r="5">
      <c r="A5" s="28">
        <v>45.0</v>
      </c>
      <c r="B5" s="28">
        <v>-3.0</v>
      </c>
      <c r="C5" s="28">
        <v>0.047</v>
      </c>
    </row>
    <row r="6">
      <c r="A6" s="28">
        <v>50.0</v>
      </c>
      <c r="B6" s="28">
        <v>-2.0</v>
      </c>
      <c r="C6" s="28">
        <v>0.119</v>
      </c>
    </row>
    <row r="7">
      <c r="A7" s="28">
        <v>52.0</v>
      </c>
      <c r="B7" s="28">
        <v>-1.6</v>
      </c>
      <c r="C7" s="28">
        <v>0.167</v>
      </c>
    </row>
    <row r="8">
      <c r="A8" s="28">
        <v>54.0</v>
      </c>
      <c r="B8" s="28">
        <v>-1.2</v>
      </c>
      <c r="C8" s="28">
        <v>0.231</v>
      </c>
    </row>
    <row r="9">
      <c r="A9" s="28">
        <v>56.0</v>
      </c>
      <c r="B9" s="28">
        <v>-0.8</v>
      </c>
      <c r="C9" s="28">
        <v>0.31</v>
      </c>
    </row>
    <row r="10">
      <c r="A10" s="28">
        <v>58.0</v>
      </c>
      <c r="B10" s="28">
        <v>-0.4</v>
      </c>
      <c r="C10" s="28">
        <v>0.401</v>
      </c>
    </row>
    <row r="11">
      <c r="A11" s="28">
        <v>60.0</v>
      </c>
      <c r="B11" s="28">
        <v>0.0</v>
      </c>
      <c r="C11" s="28">
        <v>0.5</v>
      </c>
    </row>
    <row r="12">
      <c r="A12" s="28">
        <v>62.0</v>
      </c>
      <c r="B12" s="28">
        <v>0.4</v>
      </c>
      <c r="C12" s="28">
        <v>0.598</v>
      </c>
    </row>
    <row r="13">
      <c r="A13" s="28">
        <v>64.0</v>
      </c>
      <c r="B13" s="28">
        <v>0.8</v>
      </c>
      <c r="C13" s="28">
        <v>0.69</v>
      </c>
    </row>
    <row r="14">
      <c r="A14" s="28">
        <v>66.0</v>
      </c>
      <c r="B14" s="28">
        <v>1.2</v>
      </c>
      <c r="C14" s="28">
        <v>0.769</v>
      </c>
    </row>
    <row r="15">
      <c r="A15" s="28">
        <v>68.0</v>
      </c>
      <c r="B15" s="28">
        <v>1.6</v>
      </c>
      <c r="C15" s="28">
        <v>0.832</v>
      </c>
    </row>
    <row r="16">
      <c r="A16" s="28">
        <v>70.0</v>
      </c>
      <c r="B16" s="28">
        <v>2.0</v>
      </c>
      <c r="C16" s="28">
        <v>0.881</v>
      </c>
    </row>
    <row r="17">
      <c r="A17" s="28">
        <v>72.0</v>
      </c>
      <c r="B17" s="28">
        <v>2.4</v>
      </c>
      <c r="C17" s="28">
        <v>0.917</v>
      </c>
    </row>
    <row r="18">
      <c r="A18" s="28">
        <v>74.0</v>
      </c>
      <c r="B18" s="28">
        <v>2.8</v>
      </c>
      <c r="C18" s="28">
        <v>0.943</v>
      </c>
    </row>
    <row r="19">
      <c r="A19" s="28">
        <v>76.0</v>
      </c>
      <c r="B19" s="28">
        <v>3.2</v>
      </c>
      <c r="C19" s="28">
        <v>0.96</v>
      </c>
    </row>
    <row r="20">
      <c r="A20" s="28">
        <v>78.0</v>
      </c>
      <c r="B20" s="28">
        <v>3.6</v>
      </c>
      <c r="C20" s="28">
        <v>0.973</v>
      </c>
    </row>
    <row r="21" ht="15.75" customHeight="1">
      <c r="A21" s="28">
        <v>80.0</v>
      </c>
      <c r="B21" s="28">
        <v>4.0</v>
      </c>
      <c r="C21" s="28">
        <v>0.982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2026-03-10T04:30:42Z</dcterms:created>
  <dc:creator>PRABHURAJ METIPATIL</dc:creator>
</cp:coreProperties>
</file>