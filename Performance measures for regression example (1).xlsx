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INDHU SREE\OneDrive\Desktop\FILES OF AIML\"/>
    </mc:Choice>
  </mc:AlternateContent>
  <bookViews>
    <workbookView xWindow="-108" yWindow="-108" windowWidth="19416" windowHeight="10296" activeTab="5"/>
  </bookViews>
  <sheets>
    <sheet name="Sheet1" sheetId="1" r:id="rId1"/>
    <sheet name="MAE" sheetId="2" r:id="rId2"/>
    <sheet name="MSE" sheetId="3" r:id="rId3"/>
    <sheet name="RMSE" sheetId="4" r:id="rId4"/>
    <sheet name="Rsquared" sheetId="5" r:id="rId5"/>
    <sheet name="Practice" sheetId="7" r:id="rId6"/>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3" i="7" l="1"/>
  <c r="S84" i="7"/>
  <c r="S85" i="7"/>
  <c r="S86" i="7"/>
  <c r="S87" i="7"/>
  <c r="S88" i="7"/>
  <c r="S89" i="7"/>
  <c r="S90" i="7"/>
  <c r="S91" i="7"/>
  <c r="S92" i="7"/>
  <c r="S93" i="7"/>
  <c r="S94" i="7"/>
  <c r="S95" i="7"/>
  <c r="S96" i="7"/>
  <c r="S97" i="7"/>
  <c r="S98" i="7"/>
  <c r="S99" i="7"/>
  <c r="S100" i="7"/>
  <c r="S101" i="7"/>
  <c r="S82" i="7"/>
  <c r="R83" i="7"/>
  <c r="R84" i="7"/>
  <c r="R85" i="7"/>
  <c r="R86" i="7"/>
  <c r="R87" i="7"/>
  <c r="R88" i="7"/>
  <c r="R89" i="7"/>
  <c r="R90" i="7"/>
  <c r="R91" i="7"/>
  <c r="R92" i="7"/>
  <c r="R93" i="7"/>
  <c r="R94" i="7"/>
  <c r="R95" i="7"/>
  <c r="R96" i="7"/>
  <c r="R97" i="7"/>
  <c r="R98" i="7"/>
  <c r="R99" i="7"/>
  <c r="R100" i="7"/>
  <c r="R101" i="7"/>
  <c r="R82" i="7"/>
  <c r="Q82" i="7"/>
  <c r="P83" i="7"/>
  <c r="P84" i="7"/>
  <c r="P85" i="7"/>
  <c r="P86" i="7"/>
  <c r="P87" i="7"/>
  <c r="P88" i="7"/>
  <c r="P89" i="7"/>
  <c r="P90" i="7"/>
  <c r="P91" i="7"/>
  <c r="P92" i="7"/>
  <c r="P93" i="7"/>
  <c r="P94" i="7"/>
  <c r="P95" i="7"/>
  <c r="P96" i="7"/>
  <c r="P97" i="7"/>
  <c r="P98" i="7"/>
  <c r="P99" i="7"/>
  <c r="P100" i="7"/>
  <c r="P101" i="7"/>
  <c r="P82" i="7"/>
  <c r="O83" i="7"/>
  <c r="O84" i="7"/>
  <c r="O85" i="7"/>
  <c r="O86" i="7"/>
  <c r="O87" i="7"/>
  <c r="O88" i="7"/>
  <c r="O89" i="7"/>
  <c r="O90" i="7"/>
  <c r="O91" i="7"/>
  <c r="O92" i="7"/>
  <c r="O93" i="7"/>
  <c r="O94" i="7"/>
  <c r="O95" i="7"/>
  <c r="O96" i="7"/>
  <c r="O97" i="7"/>
  <c r="O98" i="7"/>
  <c r="O99" i="7"/>
  <c r="O100" i="7"/>
  <c r="O101" i="7"/>
  <c r="O82" i="7"/>
  <c r="N82" i="7"/>
  <c r="M83" i="7"/>
  <c r="M84" i="7"/>
  <c r="M85" i="7"/>
  <c r="M86" i="7"/>
  <c r="M87" i="7"/>
  <c r="M88" i="7"/>
  <c r="M89" i="7"/>
  <c r="M90" i="7"/>
  <c r="M91" i="7"/>
  <c r="M92" i="7"/>
  <c r="M93" i="7"/>
  <c r="M94" i="7"/>
  <c r="M95" i="7"/>
  <c r="M96" i="7"/>
  <c r="M97" i="7"/>
  <c r="M98" i="7"/>
  <c r="M99" i="7"/>
  <c r="M100" i="7"/>
  <c r="M101" i="7"/>
  <c r="M82" i="7"/>
  <c r="L83" i="7"/>
  <c r="L84" i="7"/>
  <c r="L85" i="7"/>
  <c r="L86" i="7"/>
  <c r="L87" i="7"/>
  <c r="L88" i="7"/>
  <c r="L89" i="7"/>
  <c r="L90" i="7"/>
  <c r="L91" i="7"/>
  <c r="L92" i="7"/>
  <c r="L93" i="7"/>
  <c r="L94" i="7"/>
  <c r="L95" i="7"/>
  <c r="L96" i="7"/>
  <c r="L97" i="7"/>
  <c r="L98" i="7"/>
  <c r="L99" i="7"/>
  <c r="L100" i="7"/>
  <c r="L101" i="7"/>
  <c r="L82" i="7"/>
  <c r="K82" i="7"/>
  <c r="G6" i="5"/>
  <c r="G7" i="3"/>
  <c r="E83" i="7"/>
  <c r="F83" i="7" s="1"/>
  <c r="H83" i="7" s="1"/>
  <c r="E84" i="7"/>
  <c r="F84" i="7" s="1"/>
  <c r="H84" i="7" s="1"/>
  <c r="E85" i="7"/>
  <c r="F85" i="7" s="1"/>
  <c r="H85" i="7" s="1"/>
  <c r="E86" i="7"/>
  <c r="F86" i="7" s="1"/>
  <c r="H86" i="7" s="1"/>
  <c r="E87" i="7"/>
  <c r="F87" i="7" s="1"/>
  <c r="H87" i="7" s="1"/>
  <c r="E88" i="7"/>
  <c r="F88" i="7" s="1"/>
  <c r="H88" i="7" s="1"/>
  <c r="E89" i="7"/>
  <c r="F89" i="7" s="1"/>
  <c r="H89" i="7" s="1"/>
  <c r="E90" i="7"/>
  <c r="F90" i="7" s="1"/>
  <c r="H90" i="7" s="1"/>
  <c r="E91" i="7"/>
  <c r="F91" i="7" s="1"/>
  <c r="H91" i="7" s="1"/>
  <c r="E92" i="7"/>
  <c r="F92" i="7" s="1"/>
  <c r="H92" i="7" s="1"/>
  <c r="E93" i="7"/>
  <c r="F93" i="7" s="1"/>
  <c r="H93" i="7" s="1"/>
  <c r="E94" i="7"/>
  <c r="F94" i="7" s="1"/>
  <c r="H94" i="7" s="1"/>
  <c r="E95" i="7"/>
  <c r="F95" i="7" s="1"/>
  <c r="H95" i="7" s="1"/>
  <c r="E96" i="7"/>
  <c r="F96" i="7" s="1"/>
  <c r="H96" i="7" s="1"/>
  <c r="E97" i="7"/>
  <c r="F97" i="7" s="1"/>
  <c r="H97" i="7" s="1"/>
  <c r="E98" i="7"/>
  <c r="F98" i="7" s="1"/>
  <c r="H98" i="7" s="1"/>
  <c r="E99" i="7"/>
  <c r="F99" i="7" s="1"/>
  <c r="H99" i="7" s="1"/>
  <c r="E100" i="7"/>
  <c r="F100" i="7" s="1"/>
  <c r="H100" i="7" s="1"/>
  <c r="E101" i="7"/>
  <c r="F101" i="7" s="1"/>
  <c r="H101" i="7" s="1"/>
  <c r="E82" i="7"/>
  <c r="F82" i="7" s="1"/>
  <c r="H82" i="7" s="1"/>
  <c r="I82" i="7" l="1"/>
  <c r="J82" i="7" s="1"/>
  <c r="G82" i="7"/>
  <c r="K8" i="5"/>
  <c r="J8" i="5"/>
  <c r="J7" i="5"/>
  <c r="K7" i="5" s="1"/>
  <c r="J6" i="5"/>
  <c r="K6" i="5" s="1"/>
  <c r="L6" i="5" s="1"/>
  <c r="M6" i="5" s="1"/>
  <c r="N6" i="5" s="1"/>
  <c r="I6" i="5"/>
  <c r="H7" i="5"/>
  <c r="H8" i="5"/>
  <c r="H6" i="5"/>
  <c r="G7" i="5"/>
  <c r="G8" i="5"/>
  <c r="E8" i="5"/>
  <c r="E7" i="5"/>
  <c r="E6" i="5"/>
  <c r="I6" i="4"/>
  <c r="F8" i="4"/>
  <c r="G8" i="4" s="1"/>
  <c r="E8" i="4"/>
  <c r="E7" i="4"/>
  <c r="F7" i="4" s="1"/>
  <c r="G7" i="4" s="1"/>
  <c r="F6" i="4"/>
  <c r="G6" i="4" s="1"/>
  <c r="E6" i="4"/>
  <c r="G8" i="3"/>
  <c r="E8" i="3"/>
  <c r="F8" i="3" s="1"/>
  <c r="E7" i="3"/>
  <c r="F7" i="3" s="1"/>
  <c r="E6" i="3"/>
  <c r="F6" i="3" s="1"/>
  <c r="G6" i="3" s="1"/>
  <c r="H6" i="3" s="1"/>
  <c r="E7" i="2"/>
  <c r="F7" i="2" s="1"/>
  <c r="E8" i="2"/>
  <c r="F8" i="2" s="1"/>
  <c r="E6" i="2"/>
  <c r="F6" i="2" s="1"/>
  <c r="G6" i="2" s="1"/>
  <c r="H6" i="4" l="1"/>
</calcChain>
</file>

<file path=xl/sharedStrings.xml><?xml version="1.0" encoding="utf-8"?>
<sst xmlns="http://schemas.openxmlformats.org/spreadsheetml/2006/main" count="162" uniqueCount="115">
  <si>
    <t>Sample</t>
  </si>
  <si>
    <t>Rainfall (mm)</t>
  </si>
  <si>
    <t>Temperature (°C)</t>
  </si>
  <si>
    <t>Yield (tons/acre)</t>
  </si>
  <si>
    <t>Train/Test</t>
  </si>
  <si>
    <t>Train</t>
  </si>
  <si>
    <t>Validation</t>
  </si>
  <si>
    <t>y ̂ = 0.002 (Rainfall)-0.05(Temperature)+1.5</t>
  </si>
  <si>
    <t>Actual</t>
  </si>
  <si>
    <t>Predicted</t>
  </si>
  <si>
    <t>MAE</t>
  </si>
  <si>
    <t>Predicted (Absolute Values)</t>
  </si>
  <si>
    <t>On average, prediction error is 1.75 tons/acre</t>
  </si>
  <si>
    <t>How well the model generalizes to new data”</t>
  </si>
  <si>
    <t>Intuition</t>
  </si>
  <si>
    <t>Say this:</t>
  </si>
  <si>
    <t>“MAE is not a property of the model alone.</t>
  </si>
  <si>
    <r>
      <t xml:space="preserve">It is a property of the model </t>
    </r>
    <r>
      <rPr>
        <b/>
        <sz val="11"/>
        <color theme="1"/>
        <rFont val="Aptos Narrow"/>
        <family val="2"/>
        <scheme val="minor"/>
      </rPr>
      <t>on a particular dataset</t>
    </r>
    <r>
      <rPr>
        <sz val="11"/>
        <color theme="1"/>
        <rFont val="Aptos Narrow"/>
        <family val="2"/>
        <scheme val="minor"/>
      </rPr>
      <t>.”</t>
    </r>
  </si>
  <si>
    <t>📌 Overfitting Case</t>
  </si>
  <si>
    <t>If:</t>
  </si>
  <si>
    <t>Training MAE = 0.1</t>
  </si>
  <si>
    <t>Test MAE = 1.8</t>
  </si>
  <si>
    <t>Then:</t>
  </si>
  <si>
    <t>Model memorized training data</t>
  </si>
  <si>
    <t>Fails on unseen data</t>
  </si>
  <si>
    <t>📌 Underfitting Case</t>
  </si>
  <si>
    <t>Training MAE = 2.0</t>
  </si>
  <si>
    <t>Test MAE = 2.1</t>
  </si>
  <si>
    <t>Model too simple</t>
  </si>
  <si>
    <t>Bad everywhere</t>
  </si>
  <si>
    <t>📌 Ideal Case</t>
  </si>
  <si>
    <t>Training MAE ≈ Test MAE ≈ small</t>
  </si>
  <si>
    <t>Good generalization</t>
  </si>
  <si>
    <t>Yes, MAE changes depending on the samples used for training and testing because the regression model parameters are learned using training samples and evaluated using different unseen samples. Training MAE measures goodness of fit, while testing MAE measures generalization performance. Since the data subsets differ, the errors computed will also differ.</t>
  </si>
  <si>
    <t>If you compute MAE on training samples:</t>
  </si>
  <si>
    <t>You are measuring:</t>
  </si>
  <si>
    <t>“How well the model memorized the data”</t>
  </si>
  <si>
    <t>Not:</t>
  </si>
  <si>
    <t>“How well the model predicts new data”</t>
  </si>
  <si>
    <t>MSE</t>
  </si>
  <si>
    <t>MSE squares the errors, so it penalizes large errors more than MAE.</t>
  </si>
  <si>
    <t>MAE:</t>
  </si>
  <si>
    <t>Linear penalty</t>
  </si>
  <si>
    <t>Each error contributes proportionally</t>
  </si>
  <si>
    <r>
      <t xml:space="preserve">Outliers affect it </t>
    </r>
    <r>
      <rPr>
        <b/>
        <sz val="11"/>
        <color theme="1"/>
        <rFont val="Aptos Narrow"/>
        <family val="2"/>
        <scheme val="minor"/>
      </rPr>
      <t>less</t>
    </r>
  </si>
  <si>
    <t>MSE:</t>
  </si>
  <si>
    <t>Quadratic penalty</t>
  </si>
  <si>
    <t>Big errors dominate</t>
  </si>
  <si>
    <t>Highly sensitive to outliers</t>
  </si>
  <si>
    <t>So yes:</t>
  </si>
  <si>
    <t>MSE “cares more” about large mistakes.</t>
  </si>
  <si>
    <t>What does minimizing them imply?</t>
  </si>
  <si>
    <t>This is an important theoretical inference:</t>
  </si>
  <si>
    <t>Minimizing MAE ⇒ model predicts median</t>
  </si>
  <si>
    <t>If you minimize MAE, the optimal prediction tends toward:</t>
  </si>
  <si>
    <t>conditional median of y\text{conditional median of } yconditional median of y</t>
  </si>
  <si>
    <t>Minimizing MSE ⇒ model predicts mean</t>
  </si>
  <si>
    <t>If you minimize MSE, the optimal prediction tends toward:</t>
  </si>
  <si>
    <t>conditional mean of y\text{conditional mean of } yconditional mean of y</t>
  </si>
  <si>
    <t>So:</t>
  </si>
  <si>
    <t>MAE → median-based</t>
  </si>
  <si>
    <t>MSE → mean-based</t>
  </si>
  <si>
    <t>RMSE</t>
  </si>
  <si>
    <t>Penalty behavior (core difference)</t>
  </si>
  <si>
    <t>MAE → linear penalty</t>
  </si>
  <si>
    <t>Each error contributes proportionally.</t>
  </si>
  <si>
    <t>Error</t>
  </si>
  <si>
    <t>Contribution to MAE</t>
  </si>
  <si>
    <t>RMSE → quadratic penalty</t>
  </si>
  <si>
    <t>Large errors dominate.</t>
  </si>
  <si>
    <t>Contribution inside RMSE</t>
  </si>
  <si>
    <t>1² = 1</t>
  </si>
  <si>
    <t>2² = 4</t>
  </si>
  <si>
    <t>5² = 25</t>
  </si>
  <si>
    <t>RMSE punishes large errors much more than MAE.</t>
  </si>
  <si>
    <t>2️⃣ Sensitivity to outliers</t>
  </si>
  <si>
    <t>Metric</t>
  </si>
  <si>
    <t>Effect of one big error</t>
  </si>
  <si>
    <t>Mild</t>
  </si>
  <si>
    <t>Strong</t>
  </si>
  <si>
    <t>If your model makes:</t>
  </si>
  <si>
    <t>many small mistakes + a few huge mistakes</t>
  </si>
  <si>
    <r>
      <t>MAE</t>
    </r>
    <r>
      <rPr>
        <sz val="11"/>
        <color theme="1"/>
        <rFont val="Aptos Narrow"/>
        <family val="2"/>
        <scheme val="minor"/>
      </rPr>
      <t xml:space="preserve"> looks okay</t>
    </r>
  </si>
  <si>
    <r>
      <t>RMSE</t>
    </r>
    <r>
      <rPr>
        <sz val="11"/>
        <color theme="1"/>
        <rFont val="Aptos Narrow"/>
        <family val="2"/>
        <scheme val="minor"/>
      </rPr>
      <t xml:space="preserve"> becomes large</t>
    </r>
  </si>
  <si>
    <t>So RMSE is better at revealing:</t>
  </si>
  <si>
    <t>“My model sometimes fails badly.”</t>
  </si>
  <si>
    <r>
      <t xml:space="preserve">3️⃣ What does each metric </t>
    </r>
    <r>
      <rPr>
        <b/>
        <i/>
        <sz val="18"/>
        <color theme="1"/>
        <rFont val="Aptos Narrow"/>
        <family val="2"/>
        <scheme val="minor"/>
      </rPr>
      <t>represent</t>
    </r>
    <r>
      <rPr>
        <b/>
        <sz val="18"/>
        <color theme="1"/>
        <rFont val="Aptos Narrow"/>
        <family val="2"/>
        <scheme val="minor"/>
      </rPr>
      <t>?</t>
    </r>
  </si>
  <si>
    <t>MAE answers:</t>
  </si>
  <si>
    <t>“On average, how wrong am I?”</t>
  </si>
  <si>
    <t>It reflects:</t>
  </si>
  <si>
    <t>typical error size</t>
  </si>
  <si>
    <t>median-like behavior</t>
  </si>
  <si>
    <t>robustness</t>
  </si>
  <si>
    <t>Mean of Actual</t>
  </si>
  <si>
    <t>Residual Square</t>
  </si>
  <si>
    <t>Residue</t>
  </si>
  <si>
    <t xml:space="preserve">Sum of Residual SS </t>
  </si>
  <si>
    <t>Difference from mean</t>
  </si>
  <si>
    <t>Sum of Squares</t>
  </si>
  <si>
    <t>total SS</t>
  </si>
  <si>
    <t>SS(res)/SS(tot)</t>
  </si>
  <si>
    <t>R^2</t>
  </si>
  <si>
    <r>
      <t xml:space="preserve">Model performs </t>
    </r>
    <r>
      <rPr>
        <b/>
        <sz val="11"/>
        <color theme="1"/>
        <rFont val="Aptos Narrow"/>
        <family val="2"/>
        <scheme val="minor"/>
      </rPr>
      <t>much worse</t>
    </r>
    <r>
      <rPr>
        <sz val="11"/>
        <color theme="1"/>
        <rFont val="Aptos Narrow"/>
        <family val="2"/>
        <scheme val="minor"/>
      </rPr>
      <t xml:space="preserve"> than predicting the mean</t>
    </r>
  </si>
  <si>
    <t>❌ Extremely poor regression</t>
  </si>
  <si>
    <r>
      <t xml:space="preserve">❌ Explains </t>
    </r>
    <r>
      <rPr>
        <b/>
        <sz val="11"/>
        <color theme="1"/>
        <rFont val="Aptos Narrow"/>
        <family val="2"/>
        <scheme val="minor"/>
      </rPr>
      <t>no useful variance</t>
    </r>
  </si>
  <si>
    <t xml:space="preserve"> </t>
  </si>
  <si>
    <t>Actual Yield(t/ha)</t>
  </si>
  <si>
    <t>Predicted Yield(t/ha)</t>
  </si>
  <si>
    <t xml:space="preserve">Sample </t>
  </si>
  <si>
    <t>Rainfall(mm)</t>
  </si>
  <si>
    <t>Absolute Value</t>
  </si>
  <si>
    <t>TRAIN</t>
  </si>
  <si>
    <t xml:space="preserve">Predicted(Absolute values </t>
  </si>
  <si>
    <t xml:space="preserve">RMSE </t>
  </si>
  <si>
    <t>AVERAGE(D6:D8)</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</si>
</sst>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1"/>
      <color theme="1"/>
      <name val="Aptos Narrow"/>
      <family val="2"/>
      <scheme val="minor"/>
    </font>
    <font>
      <b/>
      <sz val="11"/>
      <color theme="1"/>
      <name val="Aptos Narrow"/>
      <family val="2"/>
      <scheme val="minor"/>
    </font>
    <font>
      <sz val="11"/>
      <color rgb="FF000000"/>
      <name val="Aptos Narrow"/>
      <family val="2"/>
      <scheme val="minor"/>
    </font>
    <font>
      <b/>
      <sz val="18"/>
      <color theme="1"/>
      <name val="Aptos Narrow"/>
      <family val="2"/>
      <scheme val="minor"/>
    </font>
    <font>
      <b/>
      <sz val="13.5"/>
      <color theme="1"/>
      <name val="Aptos Narrow"/>
      <family val="2"/>
      <scheme val="minor"/>
    </font>
    <font>
      <b/>
      <i/>
      <sz val="18"/>
      <color theme="1"/>
      <name val="Aptos Narrow"/>
      <family val="2"/>
      <scheme val="minor"/>
    </font>
    <font>
      <b/>
      <sz val="16"/>
      <color theme="1"/>
      <name val="Times New Roman"/>
      <family val="1"/>
    </font>
    <font>
      <sz val="16"/>
      <color theme="1"/>
      <name val="Times New Roman"/>
      <family val="1"/>
    </font>
    <font>
      <sz val="16"/>
      <color theme="1"/>
      <name val="Aptos Narrow"/>
      <family val="2"/>
      <scheme val="minor"/>
    </font>
    <font>
      <b/>
      <sz val="16"/>
      <color theme="1"/>
      <name val="Aptos Narrow"/>
      <family val="2"/>
      <scheme val="minor"/>
    </font>
    <font>
      <sz val="16"/>
      <color rgb="FF000000"/>
      <name val="Times New Roman"/>
      <family val="1"/>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6500"/>
      <name val="Aptos Narrow"/>
      <family val="2"/>
      <scheme val="minor"/>
    </font>
    <font>
      <b/>
      <sz val="11"/>
      <color rgb="FFFA7D00"/>
      <name val="Aptos Narrow"/>
      <family val="2"/>
      <scheme val="minor"/>
    </font>
    <font>
      <b/>
      <sz val="11"/>
      <color theme="0"/>
      <name val="Aptos Narrow"/>
      <family val="2"/>
      <scheme val="minor"/>
    </font>
    <font>
      <sz val="11"/>
      <color theme="0"/>
      <name val="Aptos Narrow"/>
      <family val="2"/>
      <scheme val="minor"/>
    </font>
    <font>
      <sz val="12"/>
      <color theme="1"/>
      <name val="Aptos Narrow"/>
      <scheme val="minor"/>
    </font>
    <font>
      <b/>
      <sz val="16"/>
      <color theme="0"/>
      <name val="Aptos Narrow"/>
      <scheme val="minor"/>
    </font>
    <font>
      <b/>
      <sz val="12"/>
      <color theme="1"/>
      <name val="Aptos Narrow"/>
      <scheme val="minor"/>
    </font>
    <font>
      <b/>
      <sz val="16"/>
      <color theme="1"/>
      <name val="Aptos Narrow"/>
      <scheme val="minor"/>
    </font>
    <font>
      <sz val="12"/>
      <color rgb="FF9C6500"/>
      <name val="Aptos Narrow"/>
      <scheme val="minor"/>
    </font>
    <font>
      <sz val="12"/>
      <color theme="0"/>
      <name val="Aptos Narrow"/>
      <scheme val="minor"/>
    </font>
    <font>
      <b/>
      <sz val="12"/>
      <color theme="0"/>
      <name val="Aptos Narrow"/>
      <scheme val="minor"/>
    </font>
    <font>
      <b/>
      <sz val="12"/>
      <color rgb="FF9C0006"/>
      <name val="Aptos Narrow"/>
      <scheme val="minor"/>
    </font>
    <font>
      <b/>
      <sz val="12"/>
      <color rgb="FF006100"/>
      <name val="Aptos Narrow"/>
      <scheme val="minor"/>
    </font>
    <font>
      <sz val="12"/>
      <color rgb="FFFA7D00"/>
      <name val="Aptos Narrow"/>
      <scheme val="minor"/>
    </font>
    <font>
      <sz val="26"/>
      <color rgb="FF9C6500"/>
      <name val="Aptos Narrow"/>
      <scheme val="minor"/>
    </font>
    <font>
      <b/>
      <sz val="14"/>
      <color theme="1"/>
      <name val="Aptos Narrow"/>
      <scheme val="minor"/>
    </font>
  </fonts>
  <fills count="20">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5" tint="0.39997558519241921"/>
        <bgColor indexed="65"/>
      </patternFill>
    </fill>
    <fill>
      <patternFill patternType="solid">
        <fgColor theme="6"/>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double">
        <color rgb="FF3F3F3F"/>
      </left>
      <right style="thin">
        <color indexed="64"/>
      </right>
      <top style="thin">
        <color indexed="64"/>
      </top>
      <bottom style="double">
        <color rgb="FF3F3F3F"/>
      </bottom>
      <diagonal/>
    </border>
    <border>
      <left style="double">
        <color rgb="FF3F3F3F"/>
      </left>
      <right style="thin">
        <color indexed="64"/>
      </right>
      <top style="double">
        <color rgb="FF3F3F3F"/>
      </top>
      <bottom style="double">
        <color rgb="FF3F3F3F"/>
      </bottom>
      <diagonal/>
    </border>
    <border>
      <left style="double">
        <color rgb="FF3F3F3F"/>
      </left>
      <right style="thin">
        <color indexed="64"/>
      </right>
      <top style="double">
        <color rgb="FF3F3F3F"/>
      </top>
      <bottom style="thin">
        <color indexed="64"/>
      </bottom>
      <diagonal/>
    </border>
  </borders>
  <cellStyleXfs count="17">
    <xf numFmtId="0" fontId="0" fillId="0" borderId="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6" applyNumberFormat="0" applyAlignment="0" applyProtection="0"/>
    <xf numFmtId="0" fontId="16" fillId="8" borderId="7" applyNumberFormat="0" applyAlignment="0" applyProtection="0"/>
    <xf numFmtId="0" fontId="17" fillId="9" borderId="0" applyNumberFormat="0" applyBorder="0" applyAlignment="0" applyProtection="0"/>
    <xf numFmtId="0" fontId="11" fillId="10" borderId="0" applyNumberFormat="0" applyBorder="0" applyAlignment="0" applyProtection="0"/>
    <xf numFmtId="0" fontId="17" fillId="11" borderId="0" applyNumberFormat="0" applyBorder="0" applyAlignment="0" applyProtection="0"/>
    <xf numFmtId="0" fontId="11"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cellStyleXfs>
  <cellXfs count="110">
    <xf numFmtId="0" fontId="0" fillId="0" borderId="0" xfId="0"/>
    <xf numFmtId="0" fontId="0" fillId="0" borderId="1" xfId="0" applyBorder="1"/>
    <xf numFmtId="0" fontId="0" fillId="0" borderId="1" xfId="0" applyBorder="1" applyAlignment="1">
      <alignment horizontal="center"/>
    </xf>
    <xf numFmtId="0" fontId="1" fillId="0" borderId="1" xfId="0" applyFont="1" applyBorder="1" applyAlignment="1">
      <alignment horizontal="center"/>
    </xf>
    <xf numFmtId="0" fontId="2" fillId="0" borderId="0" xfId="0" applyFont="1"/>
    <xf numFmtId="0" fontId="1" fillId="2" borderId="1" xfId="0" applyFont="1" applyFill="1" applyBorder="1" applyAlignment="1">
      <alignment horizontal="center"/>
    </xf>
    <xf numFmtId="0" fontId="0" fillId="2" borderId="1" xfId="0" applyFill="1"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0" fontId="1" fillId="3" borderId="2" xfId="0" applyFont="1" applyFill="1" applyBorder="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indent="1"/>
    </xf>
    <xf numFmtId="0" fontId="0" fillId="0" borderId="2" xfId="0" applyBorder="1" applyAlignment="1">
      <alignment horizontal="center" vertical="center"/>
    </xf>
    <xf numFmtId="0" fontId="6" fillId="0" borderId="1" xfId="0" applyFont="1" applyBorder="1" applyAlignment="1">
      <alignment horizontal="center"/>
    </xf>
    <xf numFmtId="0" fontId="6" fillId="2" borderId="1" xfId="0" applyFont="1" applyFill="1" applyBorder="1" applyAlignment="1">
      <alignment horizontal="center"/>
    </xf>
    <xf numFmtId="0" fontId="6" fillId="3" borderId="1" xfId="0" applyFont="1" applyFill="1" applyBorder="1" applyAlignment="1">
      <alignment horizontal="center"/>
    </xf>
    <xf numFmtId="0" fontId="7" fillId="0" borderId="1" xfId="0" applyFont="1" applyBorder="1" applyAlignment="1">
      <alignment horizontal="center"/>
    </xf>
    <xf numFmtId="0" fontId="7" fillId="0" borderId="0" xfId="0" applyFont="1"/>
    <xf numFmtId="0" fontId="7" fillId="2" borderId="1" xfId="0" applyFont="1" applyFill="1" applyBorder="1" applyAlignment="1">
      <alignment horizontal="center"/>
    </xf>
    <xf numFmtId="0" fontId="7" fillId="3" borderId="1" xfId="0" applyFont="1" applyFill="1" applyBorder="1" applyAlignment="1">
      <alignment horizontal="center"/>
    </xf>
    <xf numFmtId="0" fontId="8" fillId="0" borderId="1" xfId="0" applyFont="1" applyBorder="1" applyAlignment="1">
      <alignment horizontal="center"/>
    </xf>
    <xf numFmtId="0" fontId="8" fillId="0" borderId="0" xfId="0" applyFont="1"/>
    <xf numFmtId="0" fontId="10" fillId="0" borderId="0" xfId="0" applyFont="1"/>
    <xf numFmtId="0" fontId="0" fillId="0" borderId="0" xfId="0" applyBorder="1"/>
    <xf numFmtId="0" fontId="20" fillId="0" borderId="1" xfId="0" applyFont="1"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0" fillId="0" borderId="2" xfId="0" applyBorder="1"/>
    <xf numFmtId="0" fontId="0" fillId="0" borderId="8" xfId="0" applyBorder="1"/>
    <xf numFmtId="0" fontId="18" fillId="0" borderId="1" xfId="0" applyFont="1" applyBorder="1" applyAlignment="1">
      <alignment horizontal="center" vertical="center"/>
    </xf>
    <xf numFmtId="0" fontId="18" fillId="0" borderId="1" xfId="0" applyFont="1" applyBorder="1" applyAlignment="1">
      <alignment horizontal="center"/>
    </xf>
    <xf numFmtId="0" fontId="20" fillId="0" borderId="1" xfId="0" applyFont="1" applyBorder="1" applyAlignment="1">
      <alignment horizontal="center" vertical="top"/>
    </xf>
    <xf numFmtId="0" fontId="20" fillId="0" borderId="1" xfId="0" applyFont="1" applyBorder="1"/>
    <xf numFmtId="0" fontId="0" fillId="0" borderId="9" xfId="0" applyBorder="1" applyAlignment="1">
      <alignment horizontal="center"/>
    </xf>
    <xf numFmtId="0" fontId="0" fillId="0" borderId="9" xfId="0" applyBorder="1"/>
    <xf numFmtId="0" fontId="9" fillId="2" borderId="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8" fillId="0" borderId="1" xfId="0" applyFont="1" applyBorder="1" applyAlignment="1">
      <alignment horizont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wrapText="1"/>
    </xf>
    <xf numFmtId="0" fontId="7" fillId="0" borderId="5" xfId="0" applyFont="1" applyBorder="1" applyAlignment="1">
      <alignment horizontal="center"/>
    </xf>
    <xf numFmtId="0" fontId="7" fillId="0" borderId="0" xfId="0" applyFont="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xf>
    <xf numFmtId="0" fontId="0" fillId="0" borderId="0" xfId="0" applyAlignment="1">
      <alignment horizont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7" fillId="16" borderId="3" xfId="13" applyBorder="1" applyAlignment="1">
      <alignment horizontal="center"/>
    </xf>
    <xf numFmtId="0" fontId="17" fillId="16" borderId="2" xfId="13" applyBorder="1" applyAlignment="1">
      <alignment horizontal="center"/>
    </xf>
    <xf numFmtId="0" fontId="17" fillId="16" borderId="4" xfId="13" applyBorder="1" applyAlignment="1">
      <alignment horizontal="center"/>
    </xf>
    <xf numFmtId="0" fontId="12" fillId="4" borderId="3" xfId="1" applyBorder="1" applyAlignment="1">
      <alignment horizontal="center"/>
    </xf>
    <xf numFmtId="0" fontId="12" fillId="4" borderId="2" xfId="1" applyBorder="1" applyAlignment="1">
      <alignment horizontal="center"/>
    </xf>
    <xf numFmtId="0" fontId="12" fillId="4" borderId="4" xfId="1" applyBorder="1" applyAlignment="1">
      <alignment horizontal="center"/>
    </xf>
    <xf numFmtId="0" fontId="17" fillId="17" borderId="3" xfId="14" applyBorder="1" applyAlignment="1">
      <alignment horizontal="center"/>
    </xf>
    <xf numFmtId="0" fontId="17" fillId="17" borderId="2" xfId="14" applyBorder="1" applyAlignment="1">
      <alignment horizontal="center"/>
    </xf>
    <xf numFmtId="0" fontId="17" fillId="17" borderId="4" xfId="14" applyBorder="1" applyAlignment="1">
      <alignment horizontal="center"/>
    </xf>
    <xf numFmtId="0" fontId="17" fillId="14" borderId="3" xfId="11" applyBorder="1" applyAlignment="1">
      <alignment horizontal="center"/>
    </xf>
    <xf numFmtId="0" fontId="17" fillId="14" borderId="2" xfId="11" applyBorder="1" applyAlignment="1">
      <alignment horizontal="center"/>
    </xf>
    <xf numFmtId="0" fontId="17" fillId="14" borderId="4" xfId="11" applyBorder="1" applyAlignment="1">
      <alignment horizontal="center"/>
    </xf>
    <xf numFmtId="0" fontId="17" fillId="11" borderId="3" xfId="8" applyBorder="1" applyAlignment="1">
      <alignment horizontal="center"/>
    </xf>
    <xf numFmtId="0" fontId="17" fillId="11" borderId="2" xfId="8" applyBorder="1" applyAlignment="1">
      <alignment horizontal="center"/>
    </xf>
    <xf numFmtId="0" fontId="17" fillId="11" borderId="4" xfId="8" applyBorder="1" applyAlignment="1">
      <alignment horizontal="center"/>
    </xf>
    <xf numFmtId="0" fontId="21" fillId="15" borderId="3" xfId="12" applyFont="1" applyBorder="1" applyAlignment="1">
      <alignment horizontal="center" vertical="center"/>
    </xf>
    <xf numFmtId="0" fontId="21" fillId="15" borderId="2" xfId="12" applyFont="1" applyBorder="1" applyAlignment="1">
      <alignment horizontal="center" vertical="center"/>
    </xf>
    <xf numFmtId="0" fontId="21" fillId="15" borderId="4" xfId="12" applyFont="1" applyBorder="1" applyAlignment="1">
      <alignment horizontal="center" vertical="center"/>
    </xf>
    <xf numFmtId="0" fontId="27" fillId="7" borderId="1" xfId="4" applyFont="1" applyBorder="1" applyAlignment="1">
      <alignment horizontal="center" vertical="center"/>
    </xf>
    <xf numFmtId="0" fontId="23" fillId="18" borderId="3" xfId="15" applyFont="1" applyBorder="1" applyAlignment="1">
      <alignment horizontal="center"/>
    </xf>
    <xf numFmtId="0" fontId="23" fillId="18" borderId="2" xfId="15" applyFont="1" applyBorder="1" applyAlignment="1">
      <alignment horizontal="center"/>
    </xf>
    <xf numFmtId="0" fontId="23" fillId="18" borderId="4" xfId="15" applyFont="1" applyBorder="1" applyAlignment="1">
      <alignment horizontal="center"/>
    </xf>
    <xf numFmtId="0" fontId="23" fillId="17" borderId="3" xfId="14" applyFont="1" applyBorder="1" applyAlignment="1">
      <alignment horizontal="center"/>
    </xf>
    <xf numFmtId="0" fontId="23" fillId="17" borderId="2" xfId="14" applyFont="1" applyBorder="1" applyAlignment="1">
      <alignment horizontal="center"/>
    </xf>
    <xf numFmtId="0" fontId="23" fillId="17" borderId="4" xfId="14" applyFont="1" applyBorder="1" applyAlignment="1">
      <alignment horizontal="center"/>
    </xf>
    <xf numFmtId="0" fontId="23" fillId="11" borderId="3" xfId="8" applyFont="1" applyBorder="1" applyAlignment="1">
      <alignment horizontal="center"/>
    </xf>
    <xf numFmtId="0" fontId="23" fillId="11" borderId="2" xfId="8" applyFont="1" applyBorder="1" applyAlignment="1">
      <alignment horizontal="center"/>
    </xf>
    <xf numFmtId="0" fontId="23" fillId="11" borderId="4" xfId="8" applyFont="1" applyBorder="1" applyAlignment="1">
      <alignment horizontal="center"/>
    </xf>
    <xf numFmtId="0" fontId="23" fillId="9" borderId="3" xfId="6" applyFont="1" applyBorder="1" applyAlignment="1">
      <alignment horizontal="center"/>
    </xf>
    <xf numFmtId="0" fontId="23" fillId="9" borderId="2" xfId="6" applyFont="1" applyBorder="1" applyAlignment="1">
      <alignment horizontal="center"/>
    </xf>
    <xf numFmtId="0" fontId="23" fillId="9" borderId="4" xfId="6" applyFont="1" applyBorder="1" applyAlignment="1">
      <alignment horizontal="center"/>
    </xf>
    <xf numFmtId="0" fontId="17" fillId="13" borderId="3" xfId="10" applyBorder="1" applyAlignment="1">
      <alignment horizontal="center"/>
    </xf>
    <xf numFmtId="0" fontId="17" fillId="13" borderId="2" xfId="10" applyBorder="1" applyAlignment="1">
      <alignment horizontal="center"/>
    </xf>
    <xf numFmtId="0" fontId="17" fillId="13" borderId="4" xfId="10" applyBorder="1" applyAlignment="1">
      <alignment horizontal="center"/>
    </xf>
    <xf numFmtId="0" fontId="17" fillId="19" borderId="3" xfId="16" applyBorder="1" applyAlignment="1">
      <alignment horizontal="center"/>
    </xf>
    <xf numFmtId="0" fontId="17" fillId="19" borderId="2" xfId="16" applyBorder="1" applyAlignment="1">
      <alignment horizontal="center"/>
    </xf>
    <xf numFmtId="0" fontId="25" fillId="5" borderId="1" xfId="2" applyFont="1" applyBorder="1" applyAlignment="1">
      <alignment horizontal="center" vertical="center"/>
    </xf>
    <xf numFmtId="0" fontId="26" fillId="4" borderId="1" xfId="1" applyFont="1" applyBorder="1" applyAlignment="1">
      <alignment horizontal="center" vertical="center"/>
    </xf>
    <xf numFmtId="0" fontId="28" fillId="6" borderId="1" xfId="3" applyFont="1" applyBorder="1" applyAlignment="1">
      <alignment horizontal="center" vertical="center"/>
    </xf>
    <xf numFmtId="0" fontId="22" fillId="6" borderId="1" xfId="3" applyFont="1" applyBorder="1" applyAlignment="1">
      <alignment horizontal="center" vertical="center"/>
    </xf>
    <xf numFmtId="0" fontId="24" fillId="8" borderId="1" xfId="5" applyFont="1" applyBorder="1" applyAlignment="1">
      <alignment horizontal="center" vertical="center"/>
    </xf>
    <xf numFmtId="0" fontId="18" fillId="10" borderId="1" xfId="7" applyFont="1" applyBorder="1" applyAlignment="1">
      <alignment horizontal="center"/>
    </xf>
    <xf numFmtId="0" fontId="18" fillId="12" borderId="1" xfId="9" applyFont="1" applyBorder="1" applyAlignment="1">
      <alignment horizontal="center"/>
    </xf>
    <xf numFmtId="0" fontId="0" fillId="0" borderId="8" xfId="0" applyBorder="1" applyAlignment="1">
      <alignment horizontal="center" vertical="center"/>
    </xf>
    <xf numFmtId="0" fontId="20" fillId="0" borderId="10" xfId="0" applyFont="1" applyBorder="1"/>
    <xf numFmtId="0" fontId="19" fillId="8" borderId="11" xfId="5" applyFont="1" applyBorder="1" applyAlignment="1">
      <alignment horizontal="center" vertical="center"/>
    </xf>
    <xf numFmtId="0" fontId="19" fillId="8" borderId="12" xfId="5" applyFont="1" applyBorder="1" applyAlignment="1">
      <alignment horizontal="center" vertical="center"/>
    </xf>
    <xf numFmtId="0" fontId="19" fillId="8" borderId="13" xfId="5" applyFont="1" applyBorder="1" applyAlignment="1">
      <alignment horizontal="center" vertical="center"/>
    </xf>
    <xf numFmtId="0" fontId="29" fillId="0" borderId="1" xfId="0" applyFont="1" applyBorder="1" applyAlignment="1">
      <alignment horizontal="center" vertical="center"/>
    </xf>
    <xf numFmtId="0" fontId="29" fillId="0" borderId="1" xfId="0" applyFont="1" applyBorder="1" applyAlignment="1">
      <alignment horizontal="center"/>
    </xf>
  </cellXfs>
  <cellStyles count="17">
    <cellStyle name="20% - Accent1" xfId="7" builtinId="30"/>
    <cellStyle name="20% - Accent2" xfId="9" builtinId="34"/>
    <cellStyle name="20% - Accent4" xfId="12" builtinId="42"/>
    <cellStyle name="60% - Accent2" xfId="10" builtinId="36"/>
    <cellStyle name="60% - Accent4" xfId="13" builtinId="44"/>
    <cellStyle name="60% - Accent5" xfId="14" builtinId="48"/>
    <cellStyle name="60% - Accent6" xfId="16" builtinId="52"/>
    <cellStyle name="Accent1" xfId="6" builtinId="29"/>
    <cellStyle name="Accent2" xfId="8" builtinId="33"/>
    <cellStyle name="Accent3" xfId="11" builtinId="37"/>
    <cellStyle name="Accent6" xfId="15" builtinId="49"/>
    <cellStyle name="Bad" xfId="2" builtinId="27"/>
    <cellStyle name="Calculation" xfId="4" builtinId="22"/>
    <cellStyle name="Check Cell" xfId="5" builtinId="23"/>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358775</xdr:colOff>
      <xdr:row>3</xdr:row>
      <xdr:rowOff>180975</xdr:rowOff>
    </xdr:from>
    <xdr:ext cx="2418291" cy="34599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 xmlns:a16="http://schemas.microsoft.com/office/drawing/2014/main" id="{BD70ACC2-1EAF-E061-821A-98DC9A044620}"/>
                </a:ext>
              </a:extLst>
            </xdr:cNvPr>
            <xdr:cNvSpPr txBox="1"/>
          </xdr:nvSpPr>
          <xdr:spPr>
            <a:xfrm>
              <a:off x="4581525" y="733425"/>
              <a:ext cx="2418291" cy="3459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n-IN" sz="1100" i="1">
                          <a:solidFill>
                            <a:schemeClr val="tx1"/>
                          </a:solidFill>
                          <a:effectLst/>
                          <a:latin typeface="Cambria Math" panose="02040503050406030204" pitchFamily="18" charset="0"/>
                          <a:ea typeface="+mn-ea"/>
                          <a:cs typeface="+mn-cs"/>
                        </a:rPr>
                      </m:ctrlPr>
                    </m:accPr>
                    <m:e>
                      <m:r>
                        <a:rPr lang="en-IN" sz="1100" i="1">
                          <a:solidFill>
                            <a:schemeClr val="tx1"/>
                          </a:solidFill>
                          <a:effectLst/>
                          <a:latin typeface="Cambria Math" panose="02040503050406030204" pitchFamily="18" charset="0"/>
                          <a:ea typeface="+mn-ea"/>
                          <a:cs typeface="+mn-cs"/>
                        </a:rPr>
                        <m:t>𝑦</m:t>
                      </m:r>
                    </m:e>
                  </m:acc>
                </m:oMath>
              </a14:m>
              <a:r>
                <a:rPr lang="en-IN" sz="1100">
                  <a:solidFill>
                    <a:schemeClr val="tx1"/>
                  </a:solidFill>
                  <a:effectLst/>
                  <a:latin typeface="+mn-lt"/>
                  <a:ea typeface="+mn-ea"/>
                  <a:cs typeface="+mn-cs"/>
                </a:rPr>
                <a:t> = 0.002 (Rainfall)-0.05(Temperature)+1.5</a:t>
              </a:r>
            </a:p>
            <a:p>
              <a:endParaRPr lang="en-IN" sz="1100"/>
            </a:p>
          </xdr:txBody>
        </xdr:sp>
      </mc:Choice>
      <mc:Fallback xmlns="">
        <xdr:sp macro="" textlink="">
          <xdr:nvSpPr>
            <xdr:cNvPr id="2" name="TextBox 1">
              <a:extLst>
                <a:ext uri="{FF2B5EF4-FFF2-40B4-BE49-F238E27FC236}">
                  <a16:creationId xmlns:a16="http://schemas.microsoft.com/office/drawing/2014/main" id="{BD70ACC2-1EAF-E061-821A-98DC9A044620}"/>
                </a:ext>
              </a:extLst>
            </xdr:cNvPr>
            <xdr:cNvSpPr txBox="1"/>
          </xdr:nvSpPr>
          <xdr:spPr>
            <a:xfrm>
              <a:off x="4581525" y="733425"/>
              <a:ext cx="2418291" cy="3459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i="0">
                  <a:solidFill>
                    <a:schemeClr val="tx1"/>
                  </a:solidFill>
                  <a:effectLst/>
                  <a:latin typeface="+mn-lt"/>
                  <a:ea typeface="+mn-ea"/>
                  <a:cs typeface="+mn-cs"/>
                </a:rPr>
                <a:t>𝑦 ̂</a:t>
              </a:r>
              <a:r>
                <a:rPr lang="en-IN" sz="1100">
                  <a:solidFill>
                    <a:schemeClr val="tx1"/>
                  </a:solidFill>
                  <a:effectLst/>
                  <a:latin typeface="+mn-lt"/>
                  <a:ea typeface="+mn-ea"/>
                  <a:cs typeface="+mn-cs"/>
                </a:rPr>
                <a:t> = 0.002 (Rainfall)-0.05(Temperature)+1.5</a:t>
              </a:r>
            </a:p>
            <a:p>
              <a:endParaRPr lang="en-IN"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D18" sqref="D18"/>
    </sheetView>
  </sheetViews>
  <sheetFormatPr defaultColWidth="8.69921875" defaultRowHeight="20.399999999999999"/>
  <cols>
    <col min="1" max="1" width="8.69921875" style="25"/>
    <col min="2" max="2" width="11.5" style="25" bestFit="1" customWidth="1"/>
    <col min="3" max="3" width="14.8984375" style="25" bestFit="1" customWidth="1"/>
    <col min="4" max="4" width="14.296875" style="25" bestFit="1" customWidth="1"/>
    <col min="5" max="5" width="14.8984375" style="25" customWidth="1"/>
    <col min="6" max="16384" width="8.69921875" style="25"/>
  </cols>
  <sheetData>
    <row r="1" spans="1:10">
      <c r="A1" s="24" t="s">
        <v>0</v>
      </c>
      <c r="B1" s="24" t="s">
        <v>1</v>
      </c>
      <c r="C1" s="24" t="s">
        <v>2</v>
      </c>
      <c r="D1" s="24" t="s">
        <v>3</v>
      </c>
      <c r="E1" s="24" t="s">
        <v>4</v>
      </c>
    </row>
    <row r="2" spans="1:10">
      <c r="A2" s="24">
        <v>1</v>
      </c>
      <c r="B2" s="24">
        <v>800</v>
      </c>
      <c r="C2" s="24">
        <v>25</v>
      </c>
      <c r="D2" s="24">
        <v>4.5</v>
      </c>
      <c r="E2" s="39" t="s">
        <v>5</v>
      </c>
      <c r="F2" s="42"/>
      <c r="G2" s="42"/>
      <c r="H2" s="42"/>
      <c r="I2" s="42"/>
      <c r="J2" s="42"/>
    </row>
    <row r="3" spans="1:10">
      <c r="A3" s="24">
        <v>2</v>
      </c>
      <c r="B3" s="24">
        <v>600</v>
      </c>
      <c r="C3" s="24">
        <v>30</v>
      </c>
      <c r="D3" s="24">
        <v>3.8</v>
      </c>
      <c r="E3" s="40"/>
      <c r="F3" s="42"/>
      <c r="G3" s="42"/>
      <c r="H3" s="42"/>
      <c r="I3" s="42"/>
      <c r="J3" s="42"/>
    </row>
    <row r="4" spans="1:10">
      <c r="A4" s="24">
        <v>3</v>
      </c>
      <c r="B4" s="24">
        <v>900</v>
      </c>
      <c r="C4" s="24">
        <v>22</v>
      </c>
      <c r="D4" s="24">
        <v>5</v>
      </c>
      <c r="E4" s="40"/>
      <c r="F4" s="42"/>
      <c r="G4" s="42"/>
      <c r="H4" s="42"/>
      <c r="I4" s="42"/>
      <c r="J4" s="42"/>
    </row>
    <row r="5" spans="1:10">
      <c r="A5" s="24">
        <v>4</v>
      </c>
      <c r="B5" s="24">
        <v>750</v>
      </c>
      <c r="C5" s="24">
        <v>28</v>
      </c>
      <c r="D5" s="24">
        <v>4.2</v>
      </c>
      <c r="E5" s="40"/>
      <c r="F5" s="42"/>
      <c r="G5" s="42"/>
      <c r="H5" s="42"/>
      <c r="I5" s="42"/>
      <c r="J5" s="42"/>
    </row>
    <row r="6" spans="1:10">
      <c r="A6" s="24">
        <v>5</v>
      </c>
      <c r="B6" s="24">
        <v>500</v>
      </c>
      <c r="C6" s="24">
        <v>32</v>
      </c>
      <c r="D6" s="24">
        <v>3.2</v>
      </c>
      <c r="E6" s="40"/>
      <c r="F6" s="42"/>
      <c r="G6" s="42"/>
      <c r="H6" s="42"/>
      <c r="I6" s="42"/>
      <c r="J6" s="42"/>
    </row>
    <row r="7" spans="1:10">
      <c r="A7" s="24">
        <v>6</v>
      </c>
      <c r="B7" s="24">
        <v>1000</v>
      </c>
      <c r="C7" s="24">
        <v>20</v>
      </c>
      <c r="D7" s="24">
        <v>5.5</v>
      </c>
      <c r="E7" s="40"/>
      <c r="F7" s="42"/>
      <c r="G7" s="42"/>
      <c r="H7" s="42"/>
      <c r="I7" s="42"/>
      <c r="J7" s="42"/>
    </row>
    <row r="8" spans="1:10">
      <c r="A8" s="24">
        <v>7</v>
      </c>
      <c r="B8" s="24">
        <v>850</v>
      </c>
      <c r="C8" s="24">
        <v>24</v>
      </c>
      <c r="D8" s="24">
        <v>4.8</v>
      </c>
      <c r="E8" s="41"/>
      <c r="F8" s="42"/>
      <c r="G8" s="42"/>
      <c r="H8" s="42"/>
      <c r="I8" s="42"/>
      <c r="J8" s="42"/>
    </row>
    <row r="9" spans="1:10">
      <c r="A9" s="24">
        <v>8</v>
      </c>
      <c r="B9" s="24">
        <v>650</v>
      </c>
      <c r="C9" s="24">
        <v>29</v>
      </c>
      <c r="D9" s="24">
        <v>3.9</v>
      </c>
      <c r="E9" s="39" t="s">
        <v>6</v>
      </c>
    </row>
    <row r="10" spans="1:10">
      <c r="A10" s="24">
        <v>9</v>
      </c>
      <c r="B10" s="24">
        <v>700</v>
      </c>
      <c r="C10" s="24">
        <v>27</v>
      </c>
      <c r="D10" s="24">
        <v>4.0999999999999996</v>
      </c>
      <c r="E10" s="40"/>
    </row>
    <row r="11" spans="1:10">
      <c r="A11" s="24">
        <v>10</v>
      </c>
      <c r="B11" s="24">
        <v>950</v>
      </c>
      <c r="C11" s="24">
        <v>21</v>
      </c>
      <c r="D11" s="24">
        <v>5.3</v>
      </c>
      <c r="E11" s="40"/>
    </row>
    <row r="15" spans="1:10">
      <c r="A15" s="25" t="s">
        <v>105</v>
      </c>
    </row>
  </sheetData>
  <mergeCells count="3">
    <mergeCell ref="E2:E8"/>
    <mergeCell ref="E9:E11"/>
    <mergeCell ref="F2:J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60"/>
  <sheetViews>
    <sheetView workbookViewId="0">
      <selection activeCell="H6" sqref="H6:K8"/>
    </sheetView>
  </sheetViews>
  <sheetFormatPr defaultRowHeight="13.8"/>
  <cols>
    <col min="2" max="2" width="11.5" bestFit="1" customWidth="1"/>
    <col min="3" max="3" width="14.8984375" bestFit="1" customWidth="1"/>
    <col min="4" max="4" width="14.296875" bestFit="1" customWidth="1"/>
    <col min="5" max="5" width="14.5" customWidth="1"/>
    <col min="6" max="6" width="24.19921875" bestFit="1" customWidth="1"/>
  </cols>
  <sheetData>
    <row r="2" spans="1:11">
      <c r="B2" s="4" t="s">
        <v>7</v>
      </c>
    </row>
    <row r="5" spans="1:11" ht="21">
      <c r="A5" s="17" t="s">
        <v>0</v>
      </c>
      <c r="B5" s="17" t="s">
        <v>1</v>
      </c>
      <c r="C5" s="17" t="s">
        <v>2</v>
      </c>
      <c r="D5" s="18" t="s">
        <v>8</v>
      </c>
      <c r="E5" s="19" t="s">
        <v>9</v>
      </c>
      <c r="F5" s="19" t="s">
        <v>11</v>
      </c>
      <c r="G5" s="20" t="s">
        <v>10</v>
      </c>
      <c r="H5" s="21"/>
      <c r="I5" s="21"/>
      <c r="J5" s="21"/>
      <c r="K5" s="21"/>
    </row>
    <row r="6" spans="1:11" ht="21">
      <c r="A6" s="20">
        <v>8</v>
      </c>
      <c r="B6" s="20">
        <v>650</v>
      </c>
      <c r="C6" s="20">
        <v>29</v>
      </c>
      <c r="D6" s="22">
        <v>3.9</v>
      </c>
      <c r="E6" s="23">
        <f>0.002*B6-0.05*C6+1.5</f>
        <v>1.3499999999999999</v>
      </c>
      <c r="F6" s="20">
        <f>ABS(E6)</f>
        <v>1.3499999999999999</v>
      </c>
      <c r="G6" s="43">
        <f>AVERAGE(F6:F8)</f>
        <v>1.75</v>
      </c>
      <c r="H6" s="46" t="s">
        <v>12</v>
      </c>
      <c r="I6" s="46"/>
      <c r="J6" s="46"/>
      <c r="K6" s="46"/>
    </row>
    <row r="7" spans="1:11" ht="21">
      <c r="A7" s="20">
        <v>9</v>
      </c>
      <c r="B7" s="20">
        <v>700</v>
      </c>
      <c r="C7" s="20">
        <v>27</v>
      </c>
      <c r="D7" s="22">
        <v>4.0999999999999996</v>
      </c>
      <c r="E7" s="23">
        <f t="shared" ref="E7:E8" si="0">0.002*B7-0.05*C7+1.5</f>
        <v>1.55</v>
      </c>
      <c r="F7" s="20">
        <f t="shared" ref="F7:F8" si="1">ABS(E7)</f>
        <v>1.55</v>
      </c>
      <c r="G7" s="44"/>
      <c r="H7" s="46"/>
      <c r="I7" s="46"/>
      <c r="J7" s="46"/>
      <c r="K7" s="46"/>
    </row>
    <row r="8" spans="1:11" ht="21">
      <c r="A8" s="20">
        <v>10</v>
      </c>
      <c r="B8" s="20">
        <v>950</v>
      </c>
      <c r="C8" s="20">
        <v>21</v>
      </c>
      <c r="D8" s="22">
        <v>5.3</v>
      </c>
      <c r="E8" s="23">
        <f t="shared" si="0"/>
        <v>2.35</v>
      </c>
      <c r="F8" s="20">
        <f t="shared" si="1"/>
        <v>2.35</v>
      </c>
      <c r="G8" s="45"/>
      <c r="H8" s="46"/>
      <c r="I8" s="46"/>
      <c r="J8" s="46"/>
      <c r="K8" s="46"/>
    </row>
    <row r="9" spans="1:11" ht="21">
      <c r="A9" s="21"/>
      <c r="B9" s="21"/>
      <c r="C9" s="21"/>
      <c r="D9" s="21"/>
      <c r="E9" s="21"/>
      <c r="F9" s="21"/>
      <c r="G9" s="21"/>
      <c r="H9" s="47" t="s">
        <v>13</v>
      </c>
      <c r="I9" s="47"/>
      <c r="J9" s="47"/>
      <c r="K9" s="47"/>
    </row>
    <row r="10" spans="1:11" ht="21">
      <c r="A10" s="21"/>
      <c r="B10" s="21"/>
      <c r="C10" s="21"/>
      <c r="D10" s="21"/>
      <c r="E10" s="21"/>
      <c r="F10" s="21"/>
      <c r="G10" s="21"/>
      <c r="H10" s="48"/>
      <c r="I10" s="48"/>
      <c r="J10" s="48"/>
      <c r="K10" s="48"/>
    </row>
    <row r="17" spans="1:8">
      <c r="A17" s="49" t="s">
        <v>33</v>
      </c>
      <c r="B17" s="49"/>
      <c r="C17" s="49"/>
      <c r="D17" s="49"/>
      <c r="E17" s="49"/>
    </row>
    <row r="18" spans="1:8">
      <c r="A18" s="49"/>
      <c r="B18" s="49"/>
      <c r="C18" s="49"/>
      <c r="D18" s="49"/>
      <c r="E18" s="49"/>
    </row>
    <row r="19" spans="1:8">
      <c r="A19" s="49"/>
      <c r="B19" s="49"/>
      <c r="C19" s="49"/>
      <c r="D19" s="49"/>
      <c r="E19" s="49"/>
    </row>
    <row r="20" spans="1:8">
      <c r="A20" s="49"/>
      <c r="B20" s="49"/>
      <c r="C20" s="49"/>
      <c r="D20" s="49"/>
      <c r="E20" s="49"/>
    </row>
    <row r="21" spans="1:8">
      <c r="A21" s="49"/>
      <c r="B21" s="49"/>
      <c r="C21" s="49"/>
      <c r="D21" s="49"/>
      <c r="E21" s="49"/>
    </row>
    <row r="22" spans="1:8" ht="22.8">
      <c r="A22" s="49"/>
      <c r="B22" s="49"/>
      <c r="C22" s="49"/>
      <c r="D22" s="49"/>
      <c r="E22" s="49"/>
      <c r="H22" s="9" t="s">
        <v>18</v>
      </c>
    </row>
    <row r="23" spans="1:8">
      <c r="A23" s="49"/>
      <c r="B23" s="49"/>
      <c r="C23" s="49"/>
      <c r="D23" s="49"/>
      <c r="E23" s="49"/>
    </row>
    <row r="24" spans="1:8">
      <c r="A24" s="49"/>
      <c r="B24" s="49"/>
      <c r="C24" s="49"/>
      <c r="D24" s="49"/>
      <c r="E24" s="49"/>
      <c r="H24" t="s">
        <v>19</v>
      </c>
    </row>
    <row r="25" spans="1:8">
      <c r="H25" s="10"/>
    </row>
    <row r="26" spans="1:8">
      <c r="H26" s="10" t="s">
        <v>20</v>
      </c>
    </row>
    <row r="27" spans="1:8">
      <c r="H27" s="10"/>
    </row>
    <row r="28" spans="1:8" ht="22.8">
      <c r="E28" s="9" t="s">
        <v>14</v>
      </c>
      <c r="H28" s="10" t="s">
        <v>21</v>
      </c>
    </row>
    <row r="30" spans="1:8">
      <c r="B30" t="s">
        <v>34</v>
      </c>
      <c r="E30" t="s">
        <v>15</v>
      </c>
      <c r="H30" t="s">
        <v>22</v>
      </c>
    </row>
    <row r="31" spans="1:8">
      <c r="E31" s="10"/>
      <c r="H31" s="10"/>
    </row>
    <row r="32" spans="1:8">
      <c r="B32" t="s">
        <v>35</v>
      </c>
      <c r="E32" s="10" t="s">
        <v>16</v>
      </c>
      <c r="H32" s="10" t="s">
        <v>23</v>
      </c>
    </row>
    <row r="33" spans="2:8">
      <c r="B33" s="10"/>
      <c r="E33" s="10" t="s">
        <v>17</v>
      </c>
      <c r="H33" s="10" t="s">
        <v>24</v>
      </c>
    </row>
    <row r="34" spans="2:8">
      <c r="B34" s="10" t="s">
        <v>36</v>
      </c>
    </row>
    <row r="36" spans="2:8">
      <c r="B36" t="s">
        <v>37</v>
      </c>
    </row>
    <row r="37" spans="2:8" ht="22.8">
      <c r="B37" s="10"/>
      <c r="H37" s="9" t="s">
        <v>25</v>
      </c>
    </row>
    <row r="38" spans="2:8">
      <c r="B38" s="10" t="s">
        <v>38</v>
      </c>
    </row>
    <row r="39" spans="2:8">
      <c r="H39" t="s">
        <v>19</v>
      </c>
    </row>
    <row r="40" spans="2:8">
      <c r="H40" s="10"/>
    </row>
    <row r="41" spans="2:8">
      <c r="H41" s="10" t="s">
        <v>26</v>
      </c>
    </row>
    <row r="42" spans="2:8">
      <c r="H42" s="10"/>
    </row>
    <row r="43" spans="2:8">
      <c r="H43" s="10" t="s">
        <v>27</v>
      </c>
    </row>
    <row r="45" spans="2:8">
      <c r="H45" t="s">
        <v>22</v>
      </c>
    </row>
    <row r="46" spans="2:8">
      <c r="H46" s="10"/>
    </row>
    <row r="47" spans="2:8">
      <c r="H47" s="10" t="s">
        <v>28</v>
      </c>
    </row>
    <row r="48" spans="2:8">
      <c r="H48" s="10" t="s">
        <v>29</v>
      </c>
    </row>
    <row r="52" spans="8:8" ht="22.8">
      <c r="H52" s="9" t="s">
        <v>30</v>
      </c>
    </row>
    <row r="54" spans="8:8">
      <c r="H54" t="s">
        <v>19</v>
      </c>
    </row>
    <row r="55" spans="8:8">
      <c r="H55" s="10"/>
    </row>
    <row r="56" spans="8:8">
      <c r="H56" s="10" t="s">
        <v>31</v>
      </c>
    </row>
    <row r="58" spans="8:8">
      <c r="H58" t="s">
        <v>22</v>
      </c>
    </row>
    <row r="59" spans="8:8">
      <c r="H59" s="10"/>
    </row>
    <row r="60" spans="8:8">
      <c r="H60" s="10" t="s">
        <v>32</v>
      </c>
    </row>
  </sheetData>
  <mergeCells count="4">
    <mergeCell ref="G6:G8"/>
    <mergeCell ref="H6:K8"/>
    <mergeCell ref="H9:K10"/>
    <mergeCell ref="A17:E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
  <sheetViews>
    <sheetView workbookViewId="0">
      <selection activeCell="H6" sqref="H6:H8"/>
    </sheetView>
  </sheetViews>
  <sheetFormatPr defaultRowHeight="13.8"/>
  <cols>
    <col min="2" max="2" width="11.5" bestFit="1" customWidth="1"/>
    <col min="3" max="3" width="14.8984375" bestFit="1" customWidth="1"/>
    <col min="4" max="4" width="14.296875" bestFit="1" customWidth="1"/>
    <col min="5" max="5" width="14.5" customWidth="1"/>
    <col min="6" max="6" width="24.19921875" bestFit="1" customWidth="1"/>
    <col min="7" max="7" width="24.19921875" customWidth="1"/>
  </cols>
  <sheetData>
    <row r="1" spans="1:12" ht="21">
      <c r="A1" s="21"/>
      <c r="B1" s="21"/>
      <c r="C1" s="21"/>
      <c r="D1" s="21"/>
      <c r="E1" s="21"/>
      <c r="F1" s="21"/>
      <c r="G1" s="21"/>
      <c r="H1" s="21"/>
      <c r="I1" s="21"/>
      <c r="J1" s="21"/>
      <c r="K1" s="21"/>
      <c r="L1" s="21"/>
    </row>
    <row r="2" spans="1:12" ht="21">
      <c r="A2" s="21"/>
      <c r="B2" s="26" t="s">
        <v>7</v>
      </c>
      <c r="C2" s="21"/>
      <c r="D2" s="21"/>
      <c r="E2" s="21"/>
      <c r="F2" s="21"/>
      <c r="G2" s="21"/>
      <c r="H2" s="21"/>
      <c r="I2" s="21"/>
      <c r="J2" s="21"/>
      <c r="K2" s="21"/>
      <c r="L2" s="21"/>
    </row>
    <row r="3" spans="1:12" ht="21">
      <c r="A3" s="21"/>
      <c r="B3" s="21"/>
      <c r="C3" s="21"/>
      <c r="D3" s="21"/>
      <c r="E3" s="21"/>
      <c r="F3" s="21"/>
      <c r="G3" s="21"/>
      <c r="H3" s="21"/>
      <c r="I3" s="21"/>
      <c r="J3" s="21"/>
      <c r="K3" s="21"/>
      <c r="L3" s="21"/>
    </row>
    <row r="4" spans="1:12" ht="21">
      <c r="A4" s="21"/>
      <c r="B4" s="21"/>
      <c r="C4" s="21"/>
      <c r="D4" s="21"/>
      <c r="E4" s="21"/>
      <c r="F4" s="21"/>
      <c r="G4" s="21"/>
      <c r="H4" s="21"/>
      <c r="I4" s="21"/>
      <c r="J4" s="21"/>
      <c r="K4" s="21"/>
      <c r="L4" s="21"/>
    </row>
    <row r="5" spans="1:12" ht="21">
      <c r="A5" s="17" t="s">
        <v>0</v>
      </c>
      <c r="B5" s="17" t="s">
        <v>1</v>
      </c>
      <c r="C5" s="17" t="s">
        <v>2</v>
      </c>
      <c r="D5" s="18" t="s">
        <v>8</v>
      </c>
      <c r="E5" s="19" t="s">
        <v>9</v>
      </c>
      <c r="F5" s="19" t="s">
        <v>11</v>
      </c>
      <c r="G5" s="19" t="s">
        <v>11</v>
      </c>
      <c r="H5" s="20" t="s">
        <v>39</v>
      </c>
      <c r="I5" s="21"/>
      <c r="J5" s="21"/>
      <c r="K5" s="21"/>
      <c r="L5" s="21"/>
    </row>
    <row r="6" spans="1:12" ht="21">
      <c r="A6" s="20">
        <v>8</v>
      </c>
      <c r="B6" s="20">
        <v>650</v>
      </c>
      <c r="C6" s="20">
        <v>29</v>
      </c>
      <c r="D6" s="22">
        <v>3.9</v>
      </c>
      <c r="E6" s="23">
        <f>0.002*B6-0.05*C6+1.5</f>
        <v>1.3499999999999999</v>
      </c>
      <c r="F6" s="20">
        <f>ABS(E6)</f>
        <v>1.3499999999999999</v>
      </c>
      <c r="G6" s="20">
        <f>F6^2</f>
        <v>1.8224999999999996</v>
      </c>
      <c r="H6" s="43">
        <f>AVERAGE(G6:G8)</f>
        <v>3.249166666666667</v>
      </c>
      <c r="I6" s="46" t="s">
        <v>40</v>
      </c>
      <c r="J6" s="46"/>
      <c r="K6" s="46"/>
      <c r="L6" s="46"/>
    </row>
    <row r="7" spans="1:12" ht="21">
      <c r="A7" s="20">
        <v>9</v>
      </c>
      <c r="B7" s="20">
        <v>700</v>
      </c>
      <c r="C7" s="20">
        <v>27</v>
      </c>
      <c r="D7" s="22">
        <v>4.0999999999999996</v>
      </c>
      <c r="E7" s="23">
        <f t="shared" ref="E7:E8" si="0">0.002*B7-0.05*C7+1.5</f>
        <v>1.55</v>
      </c>
      <c r="F7" s="20">
        <f t="shared" ref="F7:F8" si="1">ABS(E7)</f>
        <v>1.55</v>
      </c>
      <c r="G7" s="20">
        <f t="shared" ref="G7:G8" si="2">F7^2</f>
        <v>2.4025000000000003</v>
      </c>
      <c r="H7" s="44"/>
      <c r="I7" s="46"/>
      <c r="J7" s="46"/>
      <c r="K7" s="46"/>
      <c r="L7" s="46"/>
    </row>
    <row r="8" spans="1:12" ht="21">
      <c r="A8" s="20">
        <v>10</v>
      </c>
      <c r="B8" s="20">
        <v>950</v>
      </c>
      <c r="C8" s="20">
        <v>21</v>
      </c>
      <c r="D8" s="22">
        <v>5.3</v>
      </c>
      <c r="E8" s="23">
        <f t="shared" si="0"/>
        <v>2.35</v>
      </c>
      <c r="F8" s="20">
        <f t="shared" si="1"/>
        <v>2.35</v>
      </c>
      <c r="G8" s="20">
        <f t="shared" si="2"/>
        <v>5.5225000000000009</v>
      </c>
      <c r="H8" s="45"/>
      <c r="I8" s="46"/>
      <c r="J8" s="46"/>
      <c r="K8" s="46"/>
      <c r="L8" s="46"/>
    </row>
    <row r="9" spans="1:12" ht="21">
      <c r="A9" s="21"/>
      <c r="B9" s="21"/>
      <c r="C9" s="21"/>
      <c r="D9" s="21"/>
      <c r="E9" s="21"/>
      <c r="F9" s="21"/>
      <c r="G9" s="21"/>
      <c r="H9" s="21"/>
      <c r="I9" s="50"/>
      <c r="J9" s="50"/>
      <c r="K9" s="50"/>
      <c r="L9" s="50"/>
    </row>
    <row r="10" spans="1:12" ht="21">
      <c r="A10" s="21"/>
      <c r="B10" s="21"/>
      <c r="C10" s="21"/>
      <c r="D10" s="21"/>
      <c r="E10" s="21"/>
      <c r="F10" s="21"/>
      <c r="G10" s="21"/>
      <c r="H10" s="21"/>
      <c r="I10" s="51"/>
      <c r="J10" s="51"/>
      <c r="K10" s="51"/>
      <c r="L10" s="51"/>
    </row>
    <row r="17" spans="1:7">
      <c r="A17" s="49"/>
      <c r="B17" s="49"/>
      <c r="C17" s="49"/>
      <c r="D17" s="49"/>
      <c r="E17" s="49"/>
    </row>
    <row r="18" spans="1:7">
      <c r="A18" s="49"/>
      <c r="B18" s="49"/>
      <c r="C18" s="49"/>
      <c r="D18" s="49"/>
      <c r="E18" s="49"/>
    </row>
    <row r="19" spans="1:7">
      <c r="A19" s="49"/>
      <c r="B19" s="49"/>
      <c r="C19" s="49"/>
      <c r="D19" s="49"/>
      <c r="E19" s="49"/>
    </row>
    <row r="20" spans="1:7">
      <c r="A20" s="49"/>
      <c r="B20" s="49"/>
      <c r="C20" s="49"/>
      <c r="D20" s="49"/>
      <c r="E20" s="49"/>
    </row>
    <row r="21" spans="1:7">
      <c r="A21" s="49"/>
      <c r="B21" s="49"/>
      <c r="C21" s="49"/>
      <c r="D21" s="49"/>
      <c r="E21" s="49"/>
    </row>
    <row r="22" spans="1:7">
      <c r="A22" s="49"/>
      <c r="B22" s="49"/>
      <c r="C22" s="49"/>
      <c r="D22" s="49"/>
      <c r="E22" s="49"/>
    </row>
    <row r="23" spans="1:7">
      <c r="A23" s="49"/>
      <c r="B23" s="49"/>
      <c r="C23" s="49"/>
      <c r="D23" s="49"/>
      <c r="E23" s="49"/>
    </row>
    <row r="24" spans="1:7">
      <c r="A24" s="49"/>
      <c r="B24" s="49"/>
      <c r="C24" s="49"/>
      <c r="D24" s="49"/>
      <c r="E24" s="49"/>
    </row>
    <row r="32" spans="1:7" ht="22.8">
      <c r="E32" s="11" t="s">
        <v>41</v>
      </c>
      <c r="G32" s="9" t="s">
        <v>51</v>
      </c>
    </row>
    <row r="33" spans="2:8">
      <c r="B33" s="10"/>
      <c r="E33" s="10"/>
    </row>
    <row r="34" spans="2:8" ht="22.8">
      <c r="B34" s="10"/>
      <c r="E34" s="10" t="s">
        <v>42</v>
      </c>
      <c r="G34" t="s">
        <v>52</v>
      </c>
      <c r="H34" s="9"/>
    </row>
    <row r="35" spans="2:8">
      <c r="E35" s="10"/>
    </row>
    <row r="36" spans="2:8" ht="17.399999999999999">
      <c r="E36" s="10" t="s">
        <v>43</v>
      </c>
      <c r="G36" s="11" t="s">
        <v>53</v>
      </c>
    </row>
    <row r="37" spans="2:8">
      <c r="B37" s="10"/>
      <c r="E37" s="10"/>
      <c r="H37" s="10"/>
    </row>
    <row r="38" spans="2:8">
      <c r="B38" s="10"/>
      <c r="E38" s="10" t="s">
        <v>44</v>
      </c>
      <c r="G38" t="s">
        <v>54</v>
      </c>
      <c r="H38" s="10"/>
    </row>
    <row r="39" spans="2:8">
      <c r="H39" s="10"/>
    </row>
    <row r="40" spans="2:8" ht="17.399999999999999">
      <c r="E40" s="11" t="s">
        <v>45</v>
      </c>
      <c r="G40" t="s">
        <v>55</v>
      </c>
    </row>
    <row r="41" spans="2:8">
      <c r="E41" s="10"/>
    </row>
    <row r="42" spans="2:8" ht="17.399999999999999">
      <c r="E42" s="10" t="s">
        <v>46</v>
      </c>
      <c r="G42" s="11" t="s">
        <v>56</v>
      </c>
    </row>
    <row r="43" spans="2:8" ht="22.8">
      <c r="E43" s="10"/>
      <c r="H43" s="9"/>
    </row>
    <row r="44" spans="2:8">
      <c r="E44" s="10" t="s">
        <v>47</v>
      </c>
      <c r="G44" t="s">
        <v>57</v>
      </c>
    </row>
    <row r="45" spans="2:8">
      <c r="E45" s="10"/>
    </row>
    <row r="46" spans="2:8">
      <c r="E46" s="10" t="s">
        <v>48</v>
      </c>
      <c r="G46" t="s">
        <v>58</v>
      </c>
      <c r="H46" s="10"/>
    </row>
    <row r="47" spans="2:8">
      <c r="H47" s="10"/>
    </row>
    <row r="48" spans="2:8">
      <c r="E48" t="s">
        <v>49</v>
      </c>
      <c r="G48" t="s">
        <v>59</v>
      </c>
      <c r="H48" s="10"/>
    </row>
    <row r="49" spans="5:8">
      <c r="E49" s="10"/>
      <c r="G49" s="10"/>
      <c r="H49" s="10"/>
    </row>
    <row r="50" spans="5:8">
      <c r="E50" s="10" t="s">
        <v>50</v>
      </c>
      <c r="G50" s="10" t="s">
        <v>60</v>
      </c>
    </row>
    <row r="51" spans="5:8">
      <c r="G51" s="10"/>
    </row>
    <row r="52" spans="5:8">
      <c r="G52" s="10" t="s">
        <v>61</v>
      </c>
      <c r="H52" s="10"/>
    </row>
    <row r="53" spans="5:8">
      <c r="H53" s="10"/>
    </row>
    <row r="54" spans="5:8">
      <c r="H54" s="10"/>
    </row>
    <row r="58" spans="5:8" ht="22.8">
      <c r="H58" s="9"/>
    </row>
    <row r="61" spans="5:8">
      <c r="H61" s="10"/>
    </row>
    <row r="62" spans="5:8">
      <c r="H62" s="10"/>
    </row>
    <row r="63" spans="5:8">
      <c r="H63" s="10"/>
    </row>
    <row r="64" spans="5:8">
      <c r="H64" s="10"/>
    </row>
  </sheetData>
  <mergeCells count="4">
    <mergeCell ref="H6:H8"/>
    <mergeCell ref="I6:L8"/>
    <mergeCell ref="I9:L10"/>
    <mergeCell ref="A17:E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72"/>
  <sheetViews>
    <sheetView workbookViewId="0">
      <selection activeCell="I6" sqref="I6:I8"/>
    </sheetView>
  </sheetViews>
  <sheetFormatPr defaultRowHeight="13.8"/>
  <cols>
    <col min="2" max="2" width="11.5" bestFit="1" customWidth="1"/>
    <col min="3" max="3" width="14.8984375" bestFit="1" customWidth="1"/>
    <col min="4" max="4" width="14.296875" bestFit="1" customWidth="1"/>
    <col min="5" max="5" width="14.5" customWidth="1"/>
    <col min="6" max="6" width="24.19921875" bestFit="1" customWidth="1"/>
    <col min="7" max="7" width="24.19921875" customWidth="1"/>
    <col min="9" max="9" width="11.3984375" bestFit="1" customWidth="1"/>
  </cols>
  <sheetData>
    <row r="2" spans="1:9">
      <c r="B2" s="4" t="s">
        <v>7</v>
      </c>
    </row>
    <row r="5" spans="1:9">
      <c r="A5" s="3" t="s">
        <v>0</v>
      </c>
      <c r="B5" s="3" t="s">
        <v>1</v>
      </c>
      <c r="C5" s="3" t="s">
        <v>2</v>
      </c>
      <c r="D5" s="5" t="s">
        <v>8</v>
      </c>
      <c r="E5" s="7" t="s">
        <v>9</v>
      </c>
      <c r="F5" s="7" t="s">
        <v>11</v>
      </c>
      <c r="G5" s="7" t="s">
        <v>11</v>
      </c>
      <c r="H5" s="2" t="s">
        <v>39</v>
      </c>
      <c r="I5" s="12" t="s">
        <v>62</v>
      </c>
    </row>
    <row r="6" spans="1:9">
      <c r="A6" s="2">
        <v>8</v>
      </c>
      <c r="B6" s="2">
        <v>650</v>
      </c>
      <c r="C6" s="2">
        <v>29</v>
      </c>
      <c r="D6" s="6">
        <v>3.9</v>
      </c>
      <c r="E6" s="8">
        <f>0.002*B6-0.05*C6+1.5</f>
        <v>1.3499999999999999</v>
      </c>
      <c r="F6" s="2">
        <f>ABS(E6)</f>
        <v>1.3499999999999999</v>
      </c>
      <c r="G6" s="2">
        <f>F6^2</f>
        <v>1.8224999999999996</v>
      </c>
      <c r="H6" s="52">
        <f>AVERAGE(G6:G8)</f>
        <v>3.249166666666667</v>
      </c>
      <c r="I6" s="57">
        <f>SQRT(H6)</f>
        <v>1.8025444978326242</v>
      </c>
    </row>
    <row r="7" spans="1:9">
      <c r="A7" s="2">
        <v>9</v>
      </c>
      <c r="B7" s="2">
        <v>700</v>
      </c>
      <c r="C7" s="2">
        <v>27</v>
      </c>
      <c r="D7" s="6">
        <v>4.0999999999999996</v>
      </c>
      <c r="E7" s="8">
        <f t="shared" ref="E7:E8" si="0">0.002*B7-0.05*C7+1.5</f>
        <v>1.55</v>
      </c>
      <c r="F7" s="2">
        <f t="shared" ref="F7:F8" si="1">ABS(E7)</f>
        <v>1.55</v>
      </c>
      <c r="G7" s="2">
        <f t="shared" ref="G7:G8" si="2">F7^2</f>
        <v>2.4025000000000003</v>
      </c>
      <c r="H7" s="53"/>
      <c r="I7" s="58"/>
    </row>
    <row r="8" spans="1:9">
      <c r="A8" s="2">
        <v>10</v>
      </c>
      <c r="B8" s="2">
        <v>950</v>
      </c>
      <c r="C8" s="2">
        <v>21</v>
      </c>
      <c r="D8" s="6">
        <v>5.3</v>
      </c>
      <c r="E8" s="8">
        <f t="shared" si="0"/>
        <v>2.35</v>
      </c>
      <c r="F8" s="2">
        <f t="shared" si="1"/>
        <v>2.35</v>
      </c>
      <c r="G8" s="2">
        <f t="shared" si="2"/>
        <v>5.5225000000000009</v>
      </c>
      <c r="H8" s="54"/>
      <c r="I8" s="59"/>
    </row>
    <row r="9" spans="1:9">
      <c r="I9" s="55"/>
    </row>
    <row r="10" spans="1:9">
      <c r="I10" s="56"/>
    </row>
    <row r="11" spans="1:9" ht="22.8">
      <c r="F11" s="11"/>
      <c r="H11" s="9"/>
    </row>
    <row r="12" spans="1:9" ht="22.8">
      <c r="F12" s="9" t="s">
        <v>63</v>
      </c>
    </row>
    <row r="13" spans="1:9" ht="22.8">
      <c r="I13" s="9"/>
    </row>
    <row r="14" spans="1:9" ht="17.399999999999999">
      <c r="F14" s="11" t="s">
        <v>64</v>
      </c>
    </row>
    <row r="15" spans="1:9" ht="17.399999999999999">
      <c r="H15" s="11"/>
    </row>
    <row r="16" spans="1:9">
      <c r="F16" t="s">
        <v>65</v>
      </c>
      <c r="I16" s="10"/>
    </row>
    <row r="17" spans="1:9">
      <c r="A17" s="49"/>
      <c r="B17" s="49"/>
      <c r="C17" s="49"/>
      <c r="D17" s="49"/>
      <c r="E17" s="49"/>
      <c r="I17" s="10"/>
    </row>
    <row r="18" spans="1:9">
      <c r="A18" s="49"/>
      <c r="B18" s="49"/>
      <c r="C18" s="49"/>
      <c r="D18" s="49"/>
      <c r="E18" s="49"/>
      <c r="F18" s="13" t="s">
        <v>66</v>
      </c>
      <c r="G18" s="13" t="s">
        <v>67</v>
      </c>
      <c r="I18" s="10"/>
    </row>
    <row r="19" spans="1:9">
      <c r="A19" s="49"/>
      <c r="B19" s="49"/>
      <c r="C19" s="49"/>
      <c r="D19" s="49"/>
      <c r="E19" s="49"/>
      <c r="F19" s="14">
        <v>1</v>
      </c>
      <c r="G19" s="14">
        <v>1</v>
      </c>
    </row>
    <row r="20" spans="1:9">
      <c r="A20" s="49"/>
      <c r="B20" s="49"/>
      <c r="C20" s="49"/>
      <c r="D20" s="49"/>
      <c r="E20" s="49"/>
      <c r="F20" s="14">
        <v>2</v>
      </c>
      <c r="G20" s="14">
        <v>2</v>
      </c>
    </row>
    <row r="21" spans="1:9" ht="17.399999999999999">
      <c r="A21" s="49"/>
      <c r="B21" s="49"/>
      <c r="C21" s="49"/>
      <c r="D21" s="49"/>
      <c r="E21" s="49"/>
      <c r="F21" s="14">
        <v>5</v>
      </c>
      <c r="G21" s="14">
        <v>5</v>
      </c>
      <c r="H21" s="11"/>
    </row>
    <row r="22" spans="1:9" ht="22.8">
      <c r="A22" s="49"/>
      <c r="B22" s="49"/>
      <c r="C22" s="49"/>
      <c r="D22" s="49"/>
      <c r="E22" s="49"/>
      <c r="I22" s="9"/>
    </row>
    <row r="23" spans="1:9" ht="17.399999999999999">
      <c r="A23" s="49"/>
      <c r="B23" s="49"/>
      <c r="C23" s="49"/>
      <c r="D23" s="49"/>
      <c r="E23" s="49"/>
      <c r="F23" s="11" t="s">
        <v>68</v>
      </c>
    </row>
    <row r="24" spans="1:9">
      <c r="A24" s="49"/>
      <c r="B24" s="49"/>
      <c r="C24" s="49"/>
      <c r="D24" s="49"/>
      <c r="E24" s="49"/>
    </row>
    <row r="25" spans="1:9">
      <c r="F25" t="s">
        <v>69</v>
      </c>
      <c r="I25" s="10"/>
    </row>
    <row r="26" spans="1:9">
      <c r="I26" s="10"/>
    </row>
    <row r="27" spans="1:9">
      <c r="F27" s="13" t="s">
        <v>66</v>
      </c>
      <c r="G27" s="13" t="s">
        <v>70</v>
      </c>
      <c r="I27" s="10"/>
    </row>
    <row r="28" spans="1:9">
      <c r="F28" s="14">
        <v>1</v>
      </c>
      <c r="G28" s="14" t="s">
        <v>71</v>
      </c>
      <c r="H28" s="10"/>
      <c r="I28" s="10"/>
    </row>
    <row r="29" spans="1:9">
      <c r="F29" s="14">
        <v>2</v>
      </c>
      <c r="G29" s="14" t="s">
        <v>72</v>
      </c>
      <c r="H29" s="10"/>
    </row>
    <row r="30" spans="1:9">
      <c r="F30" s="14">
        <v>5</v>
      </c>
      <c r="G30" s="14" t="s">
        <v>73</v>
      </c>
      <c r="H30" s="10"/>
    </row>
    <row r="31" spans="1:9">
      <c r="H31" s="10"/>
      <c r="I31" s="10"/>
    </row>
    <row r="32" spans="1:9">
      <c r="F32" t="s">
        <v>59</v>
      </c>
      <c r="I32" s="10"/>
    </row>
    <row r="33" spans="2:9">
      <c r="B33" s="10"/>
      <c r="F33" s="10"/>
      <c r="I33" s="10"/>
    </row>
    <row r="34" spans="2:9">
      <c r="B34" s="10"/>
      <c r="F34" s="15" t="s">
        <v>74</v>
      </c>
    </row>
    <row r="37" spans="2:9" ht="22.8">
      <c r="B37" s="10"/>
      <c r="I37" s="9"/>
    </row>
    <row r="38" spans="2:9" ht="22.8">
      <c r="B38" s="10"/>
      <c r="F38" s="9" t="s">
        <v>75</v>
      </c>
    </row>
    <row r="40" spans="2:9">
      <c r="F40" s="13" t="s">
        <v>76</v>
      </c>
      <c r="G40" s="13" t="s">
        <v>77</v>
      </c>
      <c r="I40" s="10"/>
    </row>
    <row r="41" spans="2:9">
      <c r="F41" s="14" t="s">
        <v>10</v>
      </c>
      <c r="G41" s="14" t="s">
        <v>78</v>
      </c>
      <c r="I41" s="10"/>
    </row>
    <row r="42" spans="2:9">
      <c r="F42" s="14" t="s">
        <v>62</v>
      </c>
      <c r="G42" s="14" t="s">
        <v>79</v>
      </c>
      <c r="I42" s="10"/>
    </row>
    <row r="43" spans="2:9">
      <c r="I43" s="10"/>
    </row>
    <row r="44" spans="2:9">
      <c r="F44" t="s">
        <v>80</v>
      </c>
    </row>
    <row r="45" spans="2:9">
      <c r="F45" s="10"/>
    </row>
    <row r="46" spans="2:9">
      <c r="F46" s="10" t="s">
        <v>81</v>
      </c>
      <c r="I46" s="10"/>
    </row>
    <row r="47" spans="2:9">
      <c r="I47" s="10"/>
    </row>
    <row r="48" spans="2:9">
      <c r="F48" t="s">
        <v>22</v>
      </c>
      <c r="I48" s="10"/>
    </row>
    <row r="49" spans="6:9">
      <c r="F49" s="10"/>
    </row>
    <row r="50" spans="6:9">
      <c r="F50" s="15" t="s">
        <v>82</v>
      </c>
    </row>
    <row r="51" spans="6:9">
      <c r="F51" s="10"/>
    </row>
    <row r="52" spans="6:9" ht="22.8">
      <c r="F52" s="15" t="s">
        <v>83</v>
      </c>
      <c r="I52" s="9"/>
    </row>
    <row r="54" spans="6:9">
      <c r="F54" t="s">
        <v>84</v>
      </c>
    </row>
    <row r="55" spans="6:9">
      <c r="F55" s="10"/>
      <c r="I55" s="10"/>
    </row>
    <row r="56" spans="6:9">
      <c r="F56" s="10" t="s">
        <v>85</v>
      </c>
      <c r="I56" s="10"/>
    </row>
    <row r="59" spans="6:9">
      <c r="I59" s="10"/>
    </row>
    <row r="60" spans="6:9" ht="22.8">
      <c r="F60" s="9" t="s">
        <v>86</v>
      </c>
      <c r="I60" s="10"/>
    </row>
    <row r="62" spans="6:9" ht="17.399999999999999">
      <c r="F62" s="11" t="s">
        <v>87</v>
      </c>
    </row>
    <row r="63" spans="6:9">
      <c r="F63" s="10"/>
    </row>
    <row r="64" spans="6:9">
      <c r="F64" s="10" t="s">
        <v>88</v>
      </c>
    </row>
    <row r="66" spans="6:6">
      <c r="F66" t="s">
        <v>89</v>
      </c>
    </row>
    <row r="67" spans="6:6">
      <c r="F67" s="10"/>
    </row>
    <row r="68" spans="6:6">
      <c r="F68" s="10" t="s">
        <v>90</v>
      </c>
    </row>
    <row r="69" spans="6:6">
      <c r="F69" s="10"/>
    </row>
    <row r="70" spans="6:6">
      <c r="F70" s="10" t="s">
        <v>91</v>
      </c>
    </row>
    <row r="71" spans="6:6">
      <c r="F71" s="10"/>
    </row>
    <row r="72" spans="6:6">
      <c r="F72" s="10" t="s">
        <v>92</v>
      </c>
    </row>
  </sheetData>
  <mergeCells count="4">
    <mergeCell ref="H6:H8"/>
    <mergeCell ref="I9:I10"/>
    <mergeCell ref="A17:E24"/>
    <mergeCell ref="I6:I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8"/>
  <sheetViews>
    <sheetView topLeftCell="F1" workbookViewId="0">
      <selection activeCell="N6" sqref="N6:N8"/>
    </sheetView>
  </sheetViews>
  <sheetFormatPr defaultRowHeight="13.8"/>
  <cols>
    <col min="2" max="2" width="11.5" bestFit="1" customWidth="1"/>
    <col min="3" max="3" width="14.8984375" bestFit="1" customWidth="1"/>
    <col min="4" max="4" width="14.296875" bestFit="1" customWidth="1"/>
    <col min="5" max="5" width="14.5" customWidth="1"/>
    <col min="6" max="6" width="13.19921875" bestFit="1" customWidth="1"/>
    <col min="7" max="8" width="14.5" bestFit="1" customWidth="1"/>
    <col min="9" max="9" width="17.5" bestFit="1" customWidth="1"/>
    <col min="10" max="10" width="19.59765625" customWidth="1"/>
    <col min="11" max="11" width="13.8984375" bestFit="1" customWidth="1"/>
    <col min="13" max="13" width="13.3984375" bestFit="1" customWidth="1"/>
  </cols>
  <sheetData>
    <row r="2" spans="1:14">
      <c r="B2" s="4" t="s">
        <v>7</v>
      </c>
    </row>
    <row r="5" spans="1:14">
      <c r="A5" s="3" t="s">
        <v>0</v>
      </c>
      <c r="B5" s="3" t="s">
        <v>1</v>
      </c>
      <c r="C5" s="3" t="s">
        <v>2</v>
      </c>
      <c r="D5" s="5" t="s">
        <v>8</v>
      </c>
      <c r="E5" s="7" t="s">
        <v>9</v>
      </c>
      <c r="F5" s="3" t="s">
        <v>93</v>
      </c>
      <c r="G5" s="3" t="s">
        <v>95</v>
      </c>
      <c r="H5" s="3" t="s">
        <v>94</v>
      </c>
      <c r="I5" s="3" t="s">
        <v>96</v>
      </c>
      <c r="J5" s="3" t="s">
        <v>97</v>
      </c>
      <c r="K5" s="3" t="s">
        <v>98</v>
      </c>
      <c r="L5" s="3" t="s">
        <v>99</v>
      </c>
      <c r="M5" s="3" t="s">
        <v>100</v>
      </c>
      <c r="N5" s="3" t="s">
        <v>101</v>
      </c>
    </row>
    <row r="6" spans="1:14">
      <c r="A6" s="2">
        <v>8</v>
      </c>
      <c r="B6" s="2">
        <v>650</v>
      </c>
      <c r="C6" s="2">
        <v>29</v>
      </c>
      <c r="D6" s="6">
        <v>3.9</v>
      </c>
      <c r="E6" s="8">
        <f>0.002*B6-0.05*C6+1.5</f>
        <v>1.3499999999999999</v>
      </c>
      <c r="F6" s="52" t="s">
        <v>114</v>
      </c>
      <c r="G6" s="2">
        <f>E6-D6</f>
        <v>-2.5499999999999998</v>
      </c>
      <c r="H6" s="2">
        <f>G6*G6</f>
        <v>6.5024999999999995</v>
      </c>
      <c r="I6" s="52">
        <f>SUM(H6:H8)</f>
        <v>21.707499999999996</v>
      </c>
      <c r="J6" s="2" t="e">
        <f>D6-F6</f>
        <v>#VALUE!</v>
      </c>
      <c r="K6" s="1" t="e">
        <f>J6*J6</f>
        <v>#VALUE!</v>
      </c>
      <c r="L6" s="52" t="e">
        <f>SUM(K6:K8)</f>
        <v>#VALUE!</v>
      </c>
      <c r="M6" s="52" t="e">
        <f>I6/L6</f>
        <v>#VALUE!</v>
      </c>
      <c r="N6" s="52" t="e">
        <f>1-M6</f>
        <v>#VALUE!</v>
      </c>
    </row>
    <row r="7" spans="1:14">
      <c r="A7" s="2">
        <v>9</v>
      </c>
      <c r="B7" s="2">
        <v>700</v>
      </c>
      <c r="C7" s="2">
        <v>27</v>
      </c>
      <c r="D7" s="6">
        <v>4.0999999999999996</v>
      </c>
      <c r="E7" s="8">
        <f t="shared" ref="E7:E8" si="0">0.002*B7-0.05*C7+1.5</f>
        <v>1.55</v>
      </c>
      <c r="F7" s="53"/>
      <c r="G7" s="2">
        <f t="shared" ref="G7:G8" si="1">E7-D7</f>
        <v>-2.5499999999999998</v>
      </c>
      <c r="H7" s="2">
        <f t="shared" ref="H7:H8" si="2">G7*G7</f>
        <v>6.5024999999999995</v>
      </c>
      <c r="I7" s="53"/>
      <c r="J7" s="2" t="e">
        <f>D7-F6</f>
        <v>#VALUE!</v>
      </c>
      <c r="K7" s="1" t="e">
        <f t="shared" ref="K7:K8" si="3">J7*J7</f>
        <v>#VALUE!</v>
      </c>
      <c r="L7" s="53"/>
      <c r="M7" s="53"/>
      <c r="N7" s="53"/>
    </row>
    <row r="8" spans="1:14">
      <c r="A8" s="2">
        <v>10</v>
      </c>
      <c r="B8" s="2">
        <v>950</v>
      </c>
      <c r="C8" s="2">
        <v>21</v>
      </c>
      <c r="D8" s="6">
        <v>5.3</v>
      </c>
      <c r="E8" s="8">
        <f t="shared" si="0"/>
        <v>2.35</v>
      </c>
      <c r="F8" s="54"/>
      <c r="G8" s="2">
        <f t="shared" si="1"/>
        <v>-2.9499999999999997</v>
      </c>
      <c r="H8" s="2">
        <f t="shared" si="2"/>
        <v>8.7024999999999988</v>
      </c>
      <c r="I8" s="54"/>
      <c r="J8" s="2" t="e">
        <f>D8-F6</f>
        <v>#VALUE!</v>
      </c>
      <c r="K8" s="1" t="e">
        <f t="shared" si="3"/>
        <v>#VALUE!</v>
      </c>
      <c r="L8" s="54"/>
      <c r="M8" s="54"/>
      <c r="N8" s="54"/>
    </row>
    <row r="12" spans="1:14">
      <c r="I12" t="s">
        <v>102</v>
      </c>
    </row>
    <row r="13" spans="1:14">
      <c r="I13" t="s">
        <v>103</v>
      </c>
    </row>
    <row r="14" spans="1:14">
      <c r="I14" t="s">
        <v>104</v>
      </c>
    </row>
    <row r="17" spans="1:5">
      <c r="A17" s="49"/>
      <c r="B17" s="49"/>
      <c r="C17" s="49"/>
      <c r="D17" s="49"/>
      <c r="E17" s="49"/>
    </row>
    <row r="18" spans="1:5">
      <c r="A18" s="49"/>
      <c r="B18" s="49"/>
      <c r="C18" s="49"/>
      <c r="D18" s="49"/>
      <c r="E18" s="49"/>
    </row>
    <row r="19" spans="1:5">
      <c r="A19" s="49"/>
      <c r="B19" s="49"/>
      <c r="C19" s="49"/>
      <c r="D19" s="49"/>
      <c r="E19" s="49"/>
    </row>
    <row r="20" spans="1:5">
      <c r="A20" s="49"/>
      <c r="B20" s="49"/>
      <c r="C20" s="49"/>
      <c r="D20" s="49"/>
      <c r="E20" s="49"/>
    </row>
    <row r="21" spans="1:5">
      <c r="A21" s="49"/>
      <c r="B21" s="49"/>
      <c r="C21" s="49"/>
      <c r="D21" s="49"/>
      <c r="E21" s="49"/>
    </row>
    <row r="22" spans="1:5">
      <c r="A22" s="49"/>
      <c r="B22" s="49"/>
      <c r="C22" s="49"/>
      <c r="D22" s="49"/>
      <c r="E22" s="49"/>
    </row>
    <row r="23" spans="1:5">
      <c r="A23" s="49"/>
      <c r="B23" s="49"/>
      <c r="C23" s="49"/>
      <c r="D23" s="49"/>
      <c r="E23" s="49"/>
    </row>
    <row r="24" spans="1:5">
      <c r="A24" s="49"/>
      <c r="B24" s="49"/>
      <c r="C24" s="49"/>
      <c r="D24" s="49"/>
      <c r="E24" s="49"/>
    </row>
    <row r="33" spans="2:2">
      <c r="B33" s="10"/>
    </row>
    <row r="34" spans="2:2">
      <c r="B34" s="10"/>
    </row>
    <row r="37" spans="2:2">
      <c r="B37" s="10"/>
    </row>
    <row r="38" spans="2:2">
      <c r="B38" s="10"/>
    </row>
  </sheetData>
  <mergeCells count="6">
    <mergeCell ref="L6:L8"/>
    <mergeCell ref="M6:M8"/>
    <mergeCell ref="N6:N8"/>
    <mergeCell ref="I6:I8"/>
    <mergeCell ref="A17:E24"/>
    <mergeCell ref="F6:F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4"/>
  <sheetViews>
    <sheetView tabSelected="1" topLeftCell="A37" zoomScale="96" zoomScaleNormal="96" workbookViewId="0">
      <selection activeCell="E2" sqref="E2:E81"/>
    </sheetView>
  </sheetViews>
  <sheetFormatPr defaultRowHeight="13.8"/>
  <cols>
    <col min="1" max="1" width="12.796875" style="16" customWidth="1"/>
    <col min="2" max="2" width="21.19921875" style="30" customWidth="1"/>
    <col min="3" max="3" width="28" style="29" customWidth="1"/>
    <col min="4" max="4" width="23.796875" style="30" customWidth="1"/>
    <col min="5" max="5" width="31.09765625" style="30" customWidth="1"/>
    <col min="6" max="6" width="24.19921875" style="30" customWidth="1"/>
    <col min="7" max="7" width="21.5" style="31" customWidth="1"/>
    <col min="8" max="8" width="43.69921875" style="31" customWidth="1"/>
    <col min="9" max="9" width="19.296875" style="31" customWidth="1"/>
    <col min="10" max="10" width="19.59765625" style="31" customWidth="1"/>
    <col min="11" max="11" width="28.8984375" style="32" customWidth="1"/>
    <col min="12" max="12" width="19" style="32" customWidth="1"/>
    <col min="13" max="13" width="22.59765625" style="32" customWidth="1"/>
    <col min="14" max="14" width="31.09765625" style="32" customWidth="1"/>
    <col min="15" max="15" width="34.796875" style="32" customWidth="1"/>
    <col min="16" max="16" width="30.296875" style="32" customWidth="1"/>
    <col min="17" max="17" width="20" style="32" customWidth="1"/>
    <col min="18" max="18" width="20.19921875" style="32" customWidth="1"/>
    <col min="19" max="19" width="14.5" style="31" customWidth="1"/>
    <col min="20" max="16384" width="8.796875" style="27"/>
  </cols>
  <sheetData>
    <row r="1" spans="1:19" ht="17.399999999999999">
      <c r="A1" s="108" t="s">
        <v>108</v>
      </c>
      <c r="B1" s="109" t="s">
        <v>109</v>
      </c>
      <c r="C1" s="109" t="s">
        <v>2</v>
      </c>
      <c r="D1" s="109" t="s">
        <v>106</v>
      </c>
      <c r="E1" s="109" t="s">
        <v>107</v>
      </c>
      <c r="F1" s="109" t="s">
        <v>110</v>
      </c>
      <c r="G1" s="109" t="s">
        <v>10</v>
      </c>
      <c r="H1" s="109" t="s">
        <v>112</v>
      </c>
      <c r="I1" s="109" t="s">
        <v>39</v>
      </c>
      <c r="J1" s="109" t="s">
        <v>113</v>
      </c>
      <c r="K1" s="109" t="s">
        <v>93</v>
      </c>
      <c r="L1" s="109" t="s">
        <v>95</v>
      </c>
      <c r="M1" s="109" t="s">
        <v>94</v>
      </c>
      <c r="N1" s="109" t="s">
        <v>96</v>
      </c>
      <c r="O1" s="109" t="s">
        <v>97</v>
      </c>
      <c r="P1" s="109" t="s">
        <v>98</v>
      </c>
      <c r="Q1" s="109" t="s">
        <v>99</v>
      </c>
      <c r="R1" s="109" t="s">
        <v>100</v>
      </c>
      <c r="S1" s="109" t="s">
        <v>101</v>
      </c>
    </row>
    <row r="2" spans="1:19" ht="15">
      <c r="A2" s="33">
        <v>1</v>
      </c>
      <c r="B2" s="34">
        <v>812</v>
      </c>
      <c r="C2" s="34">
        <v>24</v>
      </c>
      <c r="D2" s="34">
        <v>66.2</v>
      </c>
      <c r="E2" s="98" t="s">
        <v>111</v>
      </c>
      <c r="F2" s="101"/>
      <c r="G2" s="102"/>
      <c r="H2" s="79"/>
      <c r="I2" s="82"/>
      <c r="J2" s="85"/>
      <c r="K2" s="88"/>
      <c r="L2" s="91"/>
      <c r="M2" s="94"/>
      <c r="N2" s="66"/>
      <c r="O2" s="60"/>
      <c r="P2" s="63"/>
      <c r="Q2" s="66"/>
      <c r="R2" s="69"/>
      <c r="S2" s="72"/>
    </row>
    <row r="3" spans="1:19" ht="15">
      <c r="A3" s="33">
        <v>2</v>
      </c>
      <c r="B3" s="34">
        <v>945</v>
      </c>
      <c r="C3" s="34">
        <v>26</v>
      </c>
      <c r="D3" s="34">
        <v>67.8</v>
      </c>
      <c r="E3" s="99"/>
      <c r="F3" s="101"/>
      <c r="G3" s="102"/>
      <c r="H3" s="80"/>
      <c r="I3" s="83"/>
      <c r="J3" s="86"/>
      <c r="K3" s="89"/>
      <c r="L3" s="92"/>
      <c r="M3" s="95"/>
      <c r="N3" s="67"/>
      <c r="O3" s="61"/>
      <c r="P3" s="64"/>
      <c r="Q3" s="67"/>
      <c r="R3" s="70"/>
      <c r="S3" s="73"/>
    </row>
    <row r="4" spans="1:19" ht="15">
      <c r="A4" s="33">
        <v>3</v>
      </c>
      <c r="B4" s="34">
        <v>678</v>
      </c>
      <c r="C4" s="34">
        <v>29</v>
      </c>
      <c r="D4" s="34">
        <v>59.3</v>
      </c>
      <c r="E4" s="99"/>
      <c r="F4" s="101"/>
      <c r="G4" s="102"/>
      <c r="H4" s="80"/>
      <c r="I4" s="83"/>
      <c r="J4" s="86"/>
      <c r="K4" s="89"/>
      <c r="L4" s="92"/>
      <c r="M4" s="95"/>
      <c r="N4" s="67"/>
      <c r="O4" s="61"/>
      <c r="P4" s="64"/>
      <c r="Q4" s="67"/>
      <c r="R4" s="70"/>
      <c r="S4" s="73"/>
    </row>
    <row r="5" spans="1:19" ht="15">
      <c r="A5" s="33">
        <v>4</v>
      </c>
      <c r="B5" s="34">
        <v>1204</v>
      </c>
      <c r="C5" s="34">
        <v>23</v>
      </c>
      <c r="D5" s="34">
        <v>73.5</v>
      </c>
      <c r="E5" s="99"/>
      <c r="F5" s="101"/>
      <c r="G5" s="102"/>
      <c r="H5" s="80"/>
      <c r="I5" s="83"/>
      <c r="J5" s="86"/>
      <c r="K5" s="89"/>
      <c r="L5" s="92"/>
      <c r="M5" s="95"/>
      <c r="N5" s="67"/>
      <c r="O5" s="61"/>
      <c r="P5" s="64"/>
      <c r="Q5" s="67"/>
      <c r="R5" s="70"/>
      <c r="S5" s="73"/>
    </row>
    <row r="6" spans="1:19" ht="15">
      <c r="A6" s="33">
        <v>5</v>
      </c>
      <c r="B6" s="34">
        <v>560</v>
      </c>
      <c r="C6" s="34">
        <v>31</v>
      </c>
      <c r="D6" s="34">
        <v>52.4</v>
      </c>
      <c r="E6" s="99"/>
      <c r="F6" s="101"/>
      <c r="G6" s="102"/>
      <c r="H6" s="80"/>
      <c r="I6" s="83"/>
      <c r="J6" s="86"/>
      <c r="K6" s="89"/>
      <c r="L6" s="92"/>
      <c r="M6" s="95"/>
      <c r="N6" s="67"/>
      <c r="O6" s="61"/>
      <c r="P6" s="64"/>
      <c r="Q6" s="67"/>
      <c r="R6" s="70"/>
      <c r="S6" s="73"/>
    </row>
    <row r="7" spans="1:19" ht="15">
      <c r="A7" s="33">
        <v>6</v>
      </c>
      <c r="B7" s="34">
        <v>1345</v>
      </c>
      <c r="C7" s="34">
        <v>25</v>
      </c>
      <c r="D7" s="34">
        <v>74.599999999999994</v>
      </c>
      <c r="E7" s="99"/>
      <c r="F7" s="101"/>
      <c r="G7" s="102"/>
      <c r="H7" s="80"/>
      <c r="I7" s="83"/>
      <c r="J7" s="86"/>
      <c r="K7" s="89"/>
      <c r="L7" s="92"/>
      <c r="M7" s="95"/>
      <c r="N7" s="67"/>
      <c r="O7" s="61"/>
      <c r="P7" s="64"/>
      <c r="Q7" s="67"/>
      <c r="R7" s="70"/>
      <c r="S7" s="73"/>
    </row>
    <row r="8" spans="1:19" ht="15">
      <c r="A8" s="33">
        <v>7</v>
      </c>
      <c r="B8" s="34">
        <v>910</v>
      </c>
      <c r="C8" s="34">
        <v>28</v>
      </c>
      <c r="D8" s="34">
        <v>63.7</v>
      </c>
      <c r="E8" s="99"/>
      <c r="F8" s="101"/>
      <c r="G8" s="102"/>
      <c r="H8" s="80"/>
      <c r="I8" s="83"/>
      <c r="J8" s="86"/>
      <c r="K8" s="89"/>
      <c r="L8" s="92"/>
      <c r="M8" s="95"/>
      <c r="N8" s="67"/>
      <c r="O8" s="61"/>
      <c r="P8" s="64"/>
      <c r="Q8" s="67"/>
      <c r="R8" s="70"/>
      <c r="S8" s="73"/>
    </row>
    <row r="9" spans="1:19" ht="15">
      <c r="A9" s="33">
        <v>8</v>
      </c>
      <c r="B9" s="34">
        <v>1012</v>
      </c>
      <c r="C9" s="34">
        <v>27</v>
      </c>
      <c r="D9" s="34">
        <v>66.099999999999994</v>
      </c>
      <c r="E9" s="99"/>
      <c r="F9" s="101"/>
      <c r="G9" s="102"/>
      <c r="H9" s="80"/>
      <c r="I9" s="83"/>
      <c r="J9" s="86"/>
      <c r="K9" s="89"/>
      <c r="L9" s="92"/>
      <c r="M9" s="95"/>
      <c r="N9" s="67"/>
      <c r="O9" s="61"/>
      <c r="P9" s="64"/>
      <c r="Q9" s="67"/>
      <c r="R9" s="70"/>
      <c r="S9" s="73"/>
    </row>
    <row r="10" spans="1:19" ht="15">
      <c r="A10" s="33">
        <v>9</v>
      </c>
      <c r="B10" s="34">
        <v>745</v>
      </c>
      <c r="C10" s="34">
        <v>30</v>
      </c>
      <c r="D10" s="34">
        <v>57</v>
      </c>
      <c r="E10" s="99"/>
      <c r="F10" s="101"/>
      <c r="G10" s="102"/>
      <c r="H10" s="80"/>
      <c r="I10" s="83"/>
      <c r="J10" s="86"/>
      <c r="K10" s="89"/>
      <c r="L10" s="92"/>
      <c r="M10" s="95"/>
      <c r="N10" s="67"/>
      <c r="O10" s="61"/>
      <c r="P10" s="64"/>
      <c r="Q10" s="67"/>
      <c r="R10" s="70"/>
      <c r="S10" s="73"/>
    </row>
    <row r="11" spans="1:19" ht="15">
      <c r="A11" s="33">
        <v>10</v>
      </c>
      <c r="B11" s="34">
        <v>1188</v>
      </c>
      <c r="C11" s="34">
        <v>24</v>
      </c>
      <c r="D11" s="34">
        <v>72.400000000000006</v>
      </c>
      <c r="E11" s="99"/>
      <c r="F11" s="101"/>
      <c r="G11" s="102"/>
      <c r="H11" s="80"/>
      <c r="I11" s="83"/>
      <c r="J11" s="86"/>
      <c r="K11" s="89"/>
      <c r="L11" s="92"/>
      <c r="M11" s="95"/>
      <c r="N11" s="67"/>
      <c r="O11" s="61"/>
      <c r="P11" s="64"/>
      <c r="Q11" s="67"/>
      <c r="R11" s="70"/>
      <c r="S11" s="73"/>
    </row>
    <row r="12" spans="1:19" ht="15">
      <c r="A12" s="33">
        <v>11</v>
      </c>
      <c r="B12" s="34">
        <v>632</v>
      </c>
      <c r="C12" s="34">
        <v>33</v>
      </c>
      <c r="D12" s="34">
        <v>48.9</v>
      </c>
      <c r="E12" s="99"/>
      <c r="F12" s="101"/>
      <c r="G12" s="102"/>
      <c r="H12" s="80"/>
      <c r="I12" s="83"/>
      <c r="J12" s="86"/>
      <c r="K12" s="89"/>
      <c r="L12" s="92"/>
      <c r="M12" s="95"/>
      <c r="N12" s="67"/>
      <c r="O12" s="61"/>
      <c r="P12" s="64"/>
      <c r="Q12" s="67"/>
      <c r="R12" s="70"/>
      <c r="S12" s="73"/>
    </row>
    <row r="13" spans="1:19" ht="15">
      <c r="A13" s="33">
        <v>12</v>
      </c>
      <c r="B13" s="34">
        <v>1405</v>
      </c>
      <c r="C13" s="34">
        <v>22</v>
      </c>
      <c r="D13" s="34">
        <v>76.2</v>
      </c>
      <c r="E13" s="99"/>
      <c r="F13" s="101"/>
      <c r="G13" s="102"/>
      <c r="H13" s="80"/>
      <c r="I13" s="83"/>
      <c r="J13" s="86"/>
      <c r="K13" s="89"/>
      <c r="L13" s="92"/>
      <c r="M13" s="95"/>
      <c r="N13" s="67"/>
      <c r="O13" s="61"/>
      <c r="P13" s="64"/>
      <c r="Q13" s="67"/>
      <c r="R13" s="70"/>
      <c r="S13" s="73"/>
    </row>
    <row r="14" spans="1:19" ht="15">
      <c r="A14" s="33">
        <v>13</v>
      </c>
      <c r="B14" s="34">
        <v>880</v>
      </c>
      <c r="C14" s="34">
        <v>26</v>
      </c>
      <c r="D14" s="34">
        <v>65.400000000000006</v>
      </c>
      <c r="E14" s="99"/>
      <c r="F14" s="101"/>
      <c r="G14" s="102"/>
      <c r="H14" s="80"/>
      <c r="I14" s="83"/>
      <c r="J14" s="86"/>
      <c r="K14" s="89"/>
      <c r="L14" s="92"/>
      <c r="M14" s="95"/>
      <c r="N14" s="67"/>
      <c r="O14" s="61"/>
      <c r="P14" s="64"/>
      <c r="Q14" s="67"/>
      <c r="R14" s="70"/>
      <c r="S14" s="73"/>
    </row>
    <row r="15" spans="1:19" ht="15">
      <c r="A15" s="33">
        <v>14</v>
      </c>
      <c r="B15" s="34">
        <v>956</v>
      </c>
      <c r="C15" s="34">
        <v>27</v>
      </c>
      <c r="D15" s="34">
        <v>64.8</v>
      </c>
      <c r="E15" s="99"/>
      <c r="F15" s="101"/>
      <c r="G15" s="102"/>
      <c r="H15" s="80"/>
      <c r="I15" s="83"/>
      <c r="J15" s="86"/>
      <c r="K15" s="89"/>
      <c r="L15" s="92"/>
      <c r="M15" s="95"/>
      <c r="N15" s="67"/>
      <c r="O15" s="61"/>
      <c r="P15" s="64"/>
      <c r="Q15" s="67"/>
      <c r="R15" s="70"/>
      <c r="S15" s="73"/>
    </row>
    <row r="16" spans="1:19" ht="15">
      <c r="A16" s="33">
        <v>15</v>
      </c>
      <c r="B16" s="34">
        <v>720</v>
      </c>
      <c r="C16" s="34">
        <v>31</v>
      </c>
      <c r="D16" s="34">
        <v>55.6</v>
      </c>
      <c r="E16" s="99"/>
      <c r="F16" s="101"/>
      <c r="G16" s="102"/>
      <c r="H16" s="80"/>
      <c r="I16" s="83"/>
      <c r="J16" s="86"/>
      <c r="K16" s="89"/>
      <c r="L16" s="92"/>
      <c r="M16" s="95"/>
      <c r="N16" s="67"/>
      <c r="O16" s="61"/>
      <c r="P16" s="64"/>
      <c r="Q16" s="67"/>
      <c r="R16" s="70"/>
      <c r="S16" s="73"/>
    </row>
    <row r="17" spans="1:19" ht="15">
      <c r="A17" s="33">
        <v>16</v>
      </c>
      <c r="B17" s="34">
        <v>1098</v>
      </c>
      <c r="C17" s="34">
        <v>25</v>
      </c>
      <c r="D17" s="34">
        <v>69.8</v>
      </c>
      <c r="E17" s="99"/>
      <c r="F17" s="101"/>
      <c r="G17" s="102"/>
      <c r="H17" s="80"/>
      <c r="I17" s="83"/>
      <c r="J17" s="86"/>
      <c r="K17" s="89"/>
      <c r="L17" s="92"/>
      <c r="M17" s="95"/>
      <c r="N17" s="67"/>
      <c r="O17" s="61"/>
      <c r="P17" s="64"/>
      <c r="Q17" s="67"/>
      <c r="R17" s="70"/>
      <c r="S17" s="73"/>
    </row>
    <row r="18" spans="1:19" ht="15">
      <c r="A18" s="33">
        <v>17</v>
      </c>
      <c r="B18" s="34">
        <v>845</v>
      </c>
      <c r="C18" s="34">
        <v>29</v>
      </c>
      <c r="D18" s="34">
        <v>60.5</v>
      </c>
      <c r="E18" s="99"/>
      <c r="F18" s="101"/>
      <c r="G18" s="102"/>
      <c r="H18" s="80"/>
      <c r="I18" s="83"/>
      <c r="J18" s="86"/>
      <c r="K18" s="89"/>
      <c r="L18" s="92"/>
      <c r="M18" s="95"/>
      <c r="N18" s="67"/>
      <c r="O18" s="61"/>
      <c r="P18" s="64"/>
      <c r="Q18" s="67"/>
      <c r="R18" s="70"/>
      <c r="S18" s="73"/>
    </row>
    <row r="19" spans="1:19" ht="15">
      <c r="A19" s="33">
        <v>18</v>
      </c>
      <c r="B19" s="34">
        <v>995</v>
      </c>
      <c r="C19" s="34">
        <v>24</v>
      </c>
      <c r="D19" s="34">
        <v>68.3</v>
      </c>
      <c r="E19" s="99"/>
      <c r="F19" s="101"/>
      <c r="G19" s="102"/>
      <c r="H19" s="80"/>
      <c r="I19" s="83"/>
      <c r="J19" s="86"/>
      <c r="K19" s="89"/>
      <c r="L19" s="92"/>
      <c r="M19" s="95"/>
      <c r="N19" s="67"/>
      <c r="O19" s="61"/>
      <c r="P19" s="64"/>
      <c r="Q19" s="67"/>
      <c r="R19" s="70"/>
      <c r="S19" s="73"/>
    </row>
    <row r="20" spans="1:19" ht="15">
      <c r="A20" s="33">
        <v>19</v>
      </c>
      <c r="B20" s="34">
        <v>1210</v>
      </c>
      <c r="C20" s="34">
        <v>23</v>
      </c>
      <c r="D20" s="34">
        <v>73.099999999999994</v>
      </c>
      <c r="E20" s="99"/>
      <c r="F20" s="101"/>
      <c r="G20" s="102"/>
      <c r="H20" s="80"/>
      <c r="I20" s="83"/>
      <c r="J20" s="86"/>
      <c r="K20" s="89"/>
      <c r="L20" s="92"/>
      <c r="M20" s="95"/>
      <c r="N20" s="67"/>
      <c r="O20" s="61"/>
      <c r="P20" s="64"/>
      <c r="Q20" s="67"/>
      <c r="R20" s="70"/>
      <c r="S20" s="73"/>
    </row>
    <row r="21" spans="1:19" ht="15">
      <c r="A21" s="33">
        <v>20</v>
      </c>
      <c r="B21" s="34">
        <v>540</v>
      </c>
      <c r="C21" s="34">
        <v>32</v>
      </c>
      <c r="D21" s="34">
        <v>49.7</v>
      </c>
      <c r="E21" s="99"/>
      <c r="F21" s="101"/>
      <c r="G21" s="102"/>
      <c r="H21" s="80"/>
      <c r="I21" s="83"/>
      <c r="J21" s="86"/>
      <c r="K21" s="89"/>
      <c r="L21" s="92"/>
      <c r="M21" s="95"/>
      <c r="N21" s="67"/>
      <c r="O21" s="61"/>
      <c r="P21" s="64"/>
      <c r="Q21" s="67"/>
      <c r="R21" s="70"/>
      <c r="S21" s="73"/>
    </row>
    <row r="22" spans="1:19" ht="15">
      <c r="A22" s="33">
        <v>21</v>
      </c>
      <c r="B22" s="34">
        <v>1460</v>
      </c>
      <c r="C22" s="34">
        <v>22</v>
      </c>
      <c r="D22" s="34">
        <v>77.8</v>
      </c>
      <c r="E22" s="99"/>
      <c r="F22" s="101"/>
      <c r="G22" s="102"/>
      <c r="H22" s="80"/>
      <c r="I22" s="83"/>
      <c r="J22" s="86"/>
      <c r="K22" s="89"/>
      <c r="L22" s="92"/>
      <c r="M22" s="95"/>
      <c r="N22" s="67"/>
      <c r="O22" s="61"/>
      <c r="P22" s="64"/>
      <c r="Q22" s="67"/>
      <c r="R22" s="70"/>
      <c r="S22" s="73"/>
    </row>
    <row r="23" spans="1:19" ht="15">
      <c r="A23" s="33">
        <v>22</v>
      </c>
      <c r="B23" s="34">
        <v>1375</v>
      </c>
      <c r="C23" s="34">
        <v>24</v>
      </c>
      <c r="D23" s="34">
        <v>75.400000000000006</v>
      </c>
      <c r="E23" s="99"/>
      <c r="F23" s="101"/>
      <c r="G23" s="102"/>
      <c r="H23" s="80"/>
      <c r="I23" s="83"/>
      <c r="J23" s="86"/>
      <c r="K23" s="89"/>
      <c r="L23" s="92"/>
      <c r="M23" s="95"/>
      <c r="N23" s="67"/>
      <c r="O23" s="61"/>
      <c r="P23" s="64"/>
      <c r="Q23" s="67"/>
      <c r="R23" s="70"/>
      <c r="S23" s="73"/>
    </row>
    <row r="24" spans="1:19" ht="15">
      <c r="A24" s="33">
        <v>23</v>
      </c>
      <c r="B24" s="34">
        <v>980</v>
      </c>
      <c r="C24" s="34">
        <v>26</v>
      </c>
      <c r="D24" s="34">
        <v>66.900000000000006</v>
      </c>
      <c r="E24" s="99"/>
      <c r="F24" s="101"/>
      <c r="G24" s="102"/>
      <c r="H24" s="80"/>
      <c r="I24" s="83"/>
      <c r="J24" s="86"/>
      <c r="K24" s="89"/>
      <c r="L24" s="92"/>
      <c r="M24" s="95"/>
      <c r="N24" s="67"/>
      <c r="O24" s="61"/>
      <c r="P24" s="64"/>
      <c r="Q24" s="67"/>
      <c r="R24" s="70"/>
      <c r="S24" s="73"/>
    </row>
    <row r="25" spans="1:19" ht="15">
      <c r="A25" s="33">
        <v>24</v>
      </c>
      <c r="B25" s="34">
        <v>860</v>
      </c>
      <c r="C25" s="34">
        <v>28</v>
      </c>
      <c r="D25" s="34">
        <v>62.3</v>
      </c>
      <c r="E25" s="99"/>
      <c r="F25" s="101"/>
      <c r="G25" s="102"/>
      <c r="H25" s="80"/>
      <c r="I25" s="83"/>
      <c r="J25" s="86"/>
      <c r="K25" s="89"/>
      <c r="L25" s="92"/>
      <c r="M25" s="95"/>
      <c r="N25" s="67"/>
      <c r="O25" s="61"/>
      <c r="P25" s="64"/>
      <c r="Q25" s="67"/>
      <c r="R25" s="70"/>
      <c r="S25" s="73"/>
    </row>
    <row r="26" spans="1:19" ht="15">
      <c r="A26" s="33">
        <v>25</v>
      </c>
      <c r="B26" s="34">
        <v>710</v>
      </c>
      <c r="C26" s="34">
        <v>30</v>
      </c>
      <c r="D26" s="34">
        <v>56.8</v>
      </c>
      <c r="E26" s="99"/>
      <c r="F26" s="101"/>
      <c r="G26" s="102"/>
      <c r="H26" s="80"/>
      <c r="I26" s="83"/>
      <c r="J26" s="86"/>
      <c r="K26" s="89"/>
      <c r="L26" s="92"/>
      <c r="M26" s="95"/>
      <c r="N26" s="67"/>
      <c r="O26" s="61"/>
      <c r="P26" s="64"/>
      <c r="Q26" s="67"/>
      <c r="R26" s="70"/>
      <c r="S26" s="73"/>
    </row>
    <row r="27" spans="1:19" ht="15">
      <c r="A27" s="33">
        <v>26</v>
      </c>
      <c r="B27" s="34">
        <v>1125</v>
      </c>
      <c r="C27" s="34">
        <v>25</v>
      </c>
      <c r="D27" s="34">
        <v>70.599999999999994</v>
      </c>
      <c r="E27" s="99"/>
      <c r="F27" s="101"/>
      <c r="G27" s="102"/>
      <c r="H27" s="80"/>
      <c r="I27" s="83"/>
      <c r="J27" s="86"/>
      <c r="K27" s="89"/>
      <c r="L27" s="92"/>
      <c r="M27" s="95"/>
      <c r="N27" s="67"/>
      <c r="O27" s="61"/>
      <c r="P27" s="64"/>
      <c r="Q27" s="67"/>
      <c r="R27" s="70"/>
      <c r="S27" s="73"/>
    </row>
    <row r="28" spans="1:19" ht="15">
      <c r="A28" s="33">
        <v>27</v>
      </c>
      <c r="B28" s="34">
        <v>930</v>
      </c>
      <c r="C28" s="34">
        <v>27</v>
      </c>
      <c r="D28" s="34">
        <v>64.2</v>
      </c>
      <c r="E28" s="99"/>
      <c r="F28" s="101"/>
      <c r="G28" s="102"/>
      <c r="H28" s="80"/>
      <c r="I28" s="83"/>
      <c r="J28" s="86"/>
      <c r="K28" s="89"/>
      <c r="L28" s="92"/>
      <c r="M28" s="95"/>
      <c r="N28" s="67"/>
      <c r="O28" s="61"/>
      <c r="P28" s="64"/>
      <c r="Q28" s="67"/>
      <c r="R28" s="70"/>
      <c r="S28" s="73"/>
    </row>
    <row r="29" spans="1:19" ht="15">
      <c r="A29" s="33">
        <v>28</v>
      </c>
      <c r="B29" s="34">
        <v>1008</v>
      </c>
      <c r="C29" s="34">
        <v>26</v>
      </c>
      <c r="D29" s="34">
        <v>67.099999999999994</v>
      </c>
      <c r="E29" s="99"/>
      <c r="F29" s="101"/>
      <c r="G29" s="102"/>
      <c r="H29" s="80"/>
      <c r="I29" s="83"/>
      <c r="J29" s="86"/>
      <c r="K29" s="89"/>
      <c r="L29" s="92"/>
      <c r="M29" s="95"/>
      <c r="N29" s="67"/>
      <c r="O29" s="61"/>
      <c r="P29" s="64"/>
      <c r="Q29" s="67"/>
      <c r="R29" s="70"/>
      <c r="S29" s="73"/>
    </row>
    <row r="30" spans="1:19" ht="15">
      <c r="A30" s="33">
        <v>29</v>
      </c>
      <c r="B30" s="34">
        <v>650</v>
      </c>
      <c r="C30" s="34">
        <v>31</v>
      </c>
      <c r="D30" s="34">
        <v>53.5</v>
      </c>
      <c r="E30" s="99"/>
      <c r="F30" s="101"/>
      <c r="G30" s="102"/>
      <c r="H30" s="80"/>
      <c r="I30" s="83"/>
      <c r="J30" s="86"/>
      <c r="K30" s="89"/>
      <c r="L30" s="92"/>
      <c r="M30" s="95"/>
      <c r="N30" s="67"/>
      <c r="O30" s="61"/>
      <c r="P30" s="64"/>
      <c r="Q30" s="67"/>
      <c r="R30" s="70"/>
      <c r="S30" s="73"/>
    </row>
    <row r="31" spans="1:19" ht="15">
      <c r="A31" s="33">
        <v>30</v>
      </c>
      <c r="B31" s="34">
        <v>1420</v>
      </c>
      <c r="C31" s="34">
        <v>23</v>
      </c>
      <c r="D31" s="34">
        <v>76.900000000000006</v>
      </c>
      <c r="E31" s="99"/>
      <c r="F31" s="101"/>
      <c r="G31" s="102"/>
      <c r="H31" s="80"/>
      <c r="I31" s="83"/>
      <c r="J31" s="86"/>
      <c r="K31" s="89"/>
      <c r="L31" s="92"/>
      <c r="M31" s="95"/>
      <c r="N31" s="67"/>
      <c r="O31" s="61"/>
      <c r="P31" s="64"/>
      <c r="Q31" s="67"/>
      <c r="R31" s="70"/>
      <c r="S31" s="73"/>
    </row>
    <row r="32" spans="1:19" ht="15">
      <c r="A32" s="33">
        <v>31</v>
      </c>
      <c r="B32" s="34">
        <v>1340</v>
      </c>
      <c r="C32" s="34">
        <v>24</v>
      </c>
      <c r="D32" s="34">
        <v>74.8</v>
      </c>
      <c r="E32" s="99"/>
      <c r="F32" s="101"/>
      <c r="G32" s="102"/>
      <c r="H32" s="80"/>
      <c r="I32" s="83"/>
      <c r="J32" s="86"/>
      <c r="K32" s="89"/>
      <c r="L32" s="92"/>
      <c r="M32" s="95"/>
      <c r="N32" s="67"/>
      <c r="O32" s="61"/>
      <c r="P32" s="64"/>
      <c r="Q32" s="67"/>
      <c r="R32" s="70"/>
      <c r="S32" s="73"/>
    </row>
    <row r="33" spans="1:19" ht="15">
      <c r="A33" s="33">
        <v>32</v>
      </c>
      <c r="B33" s="34">
        <v>890</v>
      </c>
      <c r="C33" s="34">
        <v>29</v>
      </c>
      <c r="D33" s="34">
        <v>60.9</v>
      </c>
      <c r="E33" s="99"/>
      <c r="F33" s="101"/>
      <c r="G33" s="102"/>
      <c r="H33" s="80"/>
      <c r="I33" s="83"/>
      <c r="J33" s="86"/>
      <c r="K33" s="89"/>
      <c r="L33" s="92"/>
      <c r="M33" s="95"/>
      <c r="N33" s="67"/>
      <c r="O33" s="61"/>
      <c r="P33" s="64"/>
      <c r="Q33" s="67"/>
      <c r="R33" s="70"/>
      <c r="S33" s="73"/>
    </row>
    <row r="34" spans="1:19" ht="15">
      <c r="A34" s="33">
        <v>33</v>
      </c>
      <c r="B34" s="34">
        <v>970</v>
      </c>
      <c r="C34" s="34">
        <v>27</v>
      </c>
      <c r="D34" s="34">
        <v>65.2</v>
      </c>
      <c r="E34" s="99"/>
      <c r="F34" s="101"/>
      <c r="G34" s="102"/>
      <c r="H34" s="80"/>
      <c r="I34" s="83"/>
      <c r="J34" s="86"/>
      <c r="K34" s="89"/>
      <c r="L34" s="92"/>
      <c r="M34" s="95"/>
      <c r="N34" s="67"/>
      <c r="O34" s="61"/>
      <c r="P34" s="64"/>
      <c r="Q34" s="67"/>
      <c r="R34" s="70"/>
      <c r="S34" s="73"/>
    </row>
    <row r="35" spans="1:19" ht="15">
      <c r="A35" s="33">
        <v>34</v>
      </c>
      <c r="B35" s="34">
        <v>760</v>
      </c>
      <c r="C35" s="34">
        <v>30</v>
      </c>
      <c r="D35" s="34">
        <v>57.6</v>
      </c>
      <c r="E35" s="99"/>
      <c r="F35" s="101"/>
      <c r="G35" s="102"/>
      <c r="H35" s="80"/>
      <c r="I35" s="83"/>
      <c r="J35" s="86"/>
      <c r="K35" s="89"/>
      <c r="L35" s="92"/>
      <c r="M35" s="95"/>
      <c r="N35" s="67"/>
      <c r="O35" s="61"/>
      <c r="P35" s="64"/>
      <c r="Q35" s="67"/>
      <c r="R35" s="70"/>
      <c r="S35" s="73"/>
    </row>
    <row r="36" spans="1:19" ht="15">
      <c r="A36" s="33">
        <v>35</v>
      </c>
      <c r="B36" s="34">
        <v>1180</v>
      </c>
      <c r="C36" s="34">
        <v>25</v>
      </c>
      <c r="D36" s="34">
        <v>71.8</v>
      </c>
      <c r="E36" s="99"/>
      <c r="F36" s="101"/>
      <c r="G36" s="102"/>
      <c r="H36" s="80"/>
      <c r="I36" s="83"/>
      <c r="J36" s="86"/>
      <c r="K36" s="89"/>
      <c r="L36" s="92"/>
      <c r="M36" s="95"/>
      <c r="N36" s="67"/>
      <c r="O36" s="61"/>
      <c r="P36" s="64"/>
      <c r="Q36" s="67"/>
      <c r="R36" s="70"/>
      <c r="S36" s="73"/>
    </row>
    <row r="37" spans="1:19" ht="15">
      <c r="A37" s="33">
        <v>36</v>
      </c>
      <c r="B37" s="34">
        <v>840</v>
      </c>
      <c r="C37" s="34">
        <v>28</v>
      </c>
      <c r="D37" s="34">
        <v>61.7</v>
      </c>
      <c r="E37" s="99"/>
      <c r="F37" s="101"/>
      <c r="G37" s="102"/>
      <c r="H37" s="80"/>
      <c r="I37" s="83"/>
      <c r="J37" s="86"/>
      <c r="K37" s="89"/>
      <c r="L37" s="92"/>
      <c r="M37" s="95"/>
      <c r="N37" s="67"/>
      <c r="O37" s="61"/>
      <c r="P37" s="64"/>
      <c r="Q37" s="67"/>
      <c r="R37" s="70"/>
      <c r="S37" s="73"/>
    </row>
    <row r="38" spans="1:19" ht="15">
      <c r="A38" s="33">
        <v>37</v>
      </c>
      <c r="B38" s="34">
        <v>1015</v>
      </c>
      <c r="C38" s="34">
        <v>26</v>
      </c>
      <c r="D38" s="34">
        <v>67.5</v>
      </c>
      <c r="E38" s="99"/>
      <c r="F38" s="101"/>
      <c r="G38" s="102"/>
      <c r="H38" s="80"/>
      <c r="I38" s="83"/>
      <c r="J38" s="86"/>
      <c r="K38" s="89"/>
      <c r="L38" s="92"/>
      <c r="M38" s="95"/>
      <c r="N38" s="67"/>
      <c r="O38" s="61"/>
      <c r="P38" s="64"/>
      <c r="Q38" s="67"/>
      <c r="R38" s="70"/>
      <c r="S38" s="73"/>
    </row>
    <row r="39" spans="1:19" ht="15">
      <c r="A39" s="33">
        <v>38</v>
      </c>
      <c r="B39" s="34">
        <v>690</v>
      </c>
      <c r="C39" s="34">
        <v>32</v>
      </c>
      <c r="D39" s="34">
        <v>51.4</v>
      </c>
      <c r="E39" s="99"/>
      <c r="F39" s="101"/>
      <c r="G39" s="102"/>
      <c r="H39" s="80"/>
      <c r="I39" s="83"/>
      <c r="J39" s="86"/>
      <c r="K39" s="89"/>
      <c r="L39" s="92"/>
      <c r="M39" s="95"/>
      <c r="N39" s="67"/>
      <c r="O39" s="61"/>
      <c r="P39" s="64"/>
      <c r="Q39" s="67"/>
      <c r="R39" s="70"/>
      <c r="S39" s="73"/>
    </row>
    <row r="40" spans="1:19" ht="15">
      <c r="A40" s="33">
        <v>39</v>
      </c>
      <c r="B40" s="34">
        <v>1275</v>
      </c>
      <c r="C40" s="34">
        <v>24</v>
      </c>
      <c r="D40" s="34">
        <v>73.599999999999994</v>
      </c>
      <c r="E40" s="99"/>
      <c r="F40" s="101"/>
      <c r="G40" s="102"/>
      <c r="H40" s="80"/>
      <c r="I40" s="83"/>
      <c r="J40" s="86"/>
      <c r="K40" s="89"/>
      <c r="L40" s="92"/>
      <c r="M40" s="95"/>
      <c r="N40" s="67"/>
      <c r="O40" s="61"/>
      <c r="P40" s="64"/>
      <c r="Q40" s="67"/>
      <c r="R40" s="70"/>
      <c r="S40" s="73"/>
    </row>
    <row r="41" spans="1:19" ht="15">
      <c r="A41" s="33">
        <v>40</v>
      </c>
      <c r="B41" s="34">
        <v>1360</v>
      </c>
      <c r="C41" s="34">
        <v>23</v>
      </c>
      <c r="D41" s="34">
        <v>75.900000000000006</v>
      </c>
      <c r="E41" s="99"/>
      <c r="F41" s="101"/>
      <c r="G41" s="102"/>
      <c r="H41" s="80"/>
      <c r="I41" s="83"/>
      <c r="J41" s="86"/>
      <c r="K41" s="89"/>
      <c r="L41" s="92"/>
      <c r="M41" s="95"/>
      <c r="N41" s="67"/>
      <c r="O41" s="61"/>
      <c r="P41" s="64"/>
      <c r="Q41" s="67"/>
      <c r="R41" s="70"/>
      <c r="S41" s="73"/>
    </row>
    <row r="42" spans="1:19" ht="15">
      <c r="A42" s="33">
        <v>41</v>
      </c>
      <c r="B42" s="34">
        <v>905</v>
      </c>
      <c r="C42" s="34">
        <v>27</v>
      </c>
      <c r="D42" s="34">
        <v>64.599999999999994</v>
      </c>
      <c r="E42" s="99"/>
      <c r="F42" s="101"/>
      <c r="G42" s="102"/>
      <c r="H42" s="80"/>
      <c r="I42" s="83"/>
      <c r="J42" s="86"/>
      <c r="K42" s="89"/>
      <c r="L42" s="92"/>
      <c r="M42" s="95"/>
      <c r="N42" s="67"/>
      <c r="O42" s="61"/>
      <c r="P42" s="64"/>
      <c r="Q42" s="67"/>
      <c r="R42" s="70"/>
      <c r="S42" s="73"/>
    </row>
    <row r="43" spans="1:19" ht="15">
      <c r="A43" s="33">
        <v>42</v>
      </c>
      <c r="B43" s="34">
        <v>995</v>
      </c>
      <c r="C43" s="34">
        <v>25</v>
      </c>
      <c r="D43" s="34">
        <v>68.7</v>
      </c>
      <c r="E43" s="99"/>
      <c r="F43" s="101"/>
      <c r="G43" s="102"/>
      <c r="H43" s="80"/>
      <c r="I43" s="83"/>
      <c r="J43" s="86"/>
      <c r="K43" s="89"/>
      <c r="L43" s="92"/>
      <c r="M43" s="95"/>
      <c r="N43" s="67"/>
      <c r="O43" s="61"/>
      <c r="P43" s="64"/>
      <c r="Q43" s="67"/>
      <c r="R43" s="70"/>
      <c r="S43" s="73"/>
    </row>
    <row r="44" spans="1:19" ht="15">
      <c r="A44" s="33">
        <v>43</v>
      </c>
      <c r="B44" s="34">
        <v>720</v>
      </c>
      <c r="C44" s="34">
        <v>31</v>
      </c>
      <c r="D44" s="34">
        <v>54.9</v>
      </c>
      <c r="E44" s="99"/>
      <c r="F44" s="101"/>
      <c r="G44" s="102"/>
      <c r="H44" s="80"/>
      <c r="I44" s="83"/>
      <c r="J44" s="86"/>
      <c r="K44" s="89"/>
      <c r="L44" s="92"/>
      <c r="M44" s="95"/>
      <c r="N44" s="67"/>
      <c r="O44" s="61"/>
      <c r="P44" s="64"/>
      <c r="Q44" s="67"/>
      <c r="R44" s="70"/>
      <c r="S44" s="73"/>
    </row>
    <row r="45" spans="1:19" ht="15">
      <c r="A45" s="33">
        <v>44</v>
      </c>
      <c r="B45" s="34">
        <v>1145</v>
      </c>
      <c r="C45" s="34">
        <v>24</v>
      </c>
      <c r="D45" s="34">
        <v>71.2</v>
      </c>
      <c r="E45" s="99"/>
      <c r="F45" s="101"/>
      <c r="G45" s="102"/>
      <c r="H45" s="80"/>
      <c r="I45" s="83"/>
      <c r="J45" s="86"/>
      <c r="K45" s="89"/>
      <c r="L45" s="92"/>
      <c r="M45" s="95"/>
      <c r="N45" s="67"/>
      <c r="O45" s="61"/>
      <c r="P45" s="64"/>
      <c r="Q45" s="67"/>
      <c r="R45" s="70"/>
      <c r="S45" s="73"/>
    </row>
    <row r="46" spans="1:19" ht="15">
      <c r="A46" s="33">
        <v>45</v>
      </c>
      <c r="B46" s="34">
        <v>1080</v>
      </c>
      <c r="C46" s="34">
        <v>26</v>
      </c>
      <c r="D46" s="34">
        <v>68.3</v>
      </c>
      <c r="E46" s="99"/>
      <c r="F46" s="101"/>
      <c r="G46" s="102"/>
      <c r="H46" s="80"/>
      <c r="I46" s="83"/>
      <c r="J46" s="86"/>
      <c r="K46" s="89"/>
      <c r="L46" s="92"/>
      <c r="M46" s="95"/>
      <c r="N46" s="67"/>
      <c r="O46" s="61"/>
      <c r="P46" s="64"/>
      <c r="Q46" s="67"/>
      <c r="R46" s="70"/>
      <c r="S46" s="73"/>
    </row>
    <row r="47" spans="1:19" ht="15">
      <c r="A47" s="33">
        <v>46</v>
      </c>
      <c r="B47" s="34">
        <v>830</v>
      </c>
      <c r="C47" s="34">
        <v>29</v>
      </c>
      <c r="D47" s="34">
        <v>60.2</v>
      </c>
      <c r="E47" s="99"/>
      <c r="F47" s="101"/>
      <c r="G47" s="102"/>
      <c r="H47" s="80"/>
      <c r="I47" s="83"/>
      <c r="J47" s="86"/>
      <c r="K47" s="89"/>
      <c r="L47" s="92"/>
      <c r="M47" s="95"/>
      <c r="N47" s="67"/>
      <c r="O47" s="61"/>
      <c r="P47" s="64"/>
      <c r="Q47" s="67"/>
      <c r="R47" s="70"/>
      <c r="S47" s="73"/>
    </row>
    <row r="48" spans="1:19" ht="15">
      <c r="A48" s="33">
        <v>47</v>
      </c>
      <c r="B48" s="34">
        <v>940</v>
      </c>
      <c r="C48" s="34">
        <v>27</v>
      </c>
      <c r="D48" s="34">
        <v>65</v>
      </c>
      <c r="E48" s="99"/>
      <c r="F48" s="101"/>
      <c r="G48" s="102"/>
      <c r="H48" s="80"/>
      <c r="I48" s="83"/>
      <c r="J48" s="86"/>
      <c r="K48" s="89"/>
      <c r="L48" s="92"/>
      <c r="M48" s="95"/>
      <c r="N48" s="67"/>
      <c r="O48" s="61"/>
      <c r="P48" s="64"/>
      <c r="Q48" s="67"/>
      <c r="R48" s="70"/>
      <c r="S48" s="73"/>
    </row>
    <row r="49" spans="1:19" ht="15">
      <c r="A49" s="33">
        <v>48</v>
      </c>
      <c r="B49" s="34">
        <v>615</v>
      </c>
      <c r="C49" s="34">
        <v>33</v>
      </c>
      <c r="D49" s="34">
        <v>48.2</v>
      </c>
      <c r="E49" s="99"/>
      <c r="F49" s="101"/>
      <c r="G49" s="102"/>
      <c r="H49" s="80"/>
      <c r="I49" s="83"/>
      <c r="J49" s="86"/>
      <c r="K49" s="89"/>
      <c r="L49" s="92"/>
      <c r="M49" s="95"/>
      <c r="N49" s="67"/>
      <c r="O49" s="61"/>
      <c r="P49" s="64"/>
      <c r="Q49" s="67"/>
      <c r="R49" s="70"/>
      <c r="S49" s="73"/>
    </row>
    <row r="50" spans="1:19" ht="15">
      <c r="A50" s="33">
        <v>49</v>
      </c>
      <c r="B50" s="34">
        <v>1395</v>
      </c>
      <c r="C50" s="34">
        <v>23</v>
      </c>
      <c r="D50" s="34">
        <v>76.099999999999994</v>
      </c>
      <c r="E50" s="99"/>
      <c r="F50" s="101"/>
      <c r="G50" s="102"/>
      <c r="H50" s="80"/>
      <c r="I50" s="83"/>
      <c r="J50" s="86"/>
      <c r="K50" s="89"/>
      <c r="L50" s="92"/>
      <c r="M50" s="95"/>
      <c r="N50" s="67"/>
      <c r="O50" s="61"/>
      <c r="P50" s="64"/>
      <c r="Q50" s="67"/>
      <c r="R50" s="70"/>
      <c r="S50" s="73"/>
    </row>
    <row r="51" spans="1:19" ht="15">
      <c r="A51" s="33">
        <v>50</v>
      </c>
      <c r="B51" s="34">
        <v>1450</v>
      </c>
      <c r="C51" s="34">
        <v>22</v>
      </c>
      <c r="D51" s="34">
        <v>78.400000000000006</v>
      </c>
      <c r="E51" s="99"/>
      <c r="F51" s="101"/>
      <c r="G51" s="102"/>
      <c r="H51" s="80"/>
      <c r="I51" s="83"/>
      <c r="J51" s="86"/>
      <c r="K51" s="89"/>
      <c r="L51" s="92"/>
      <c r="M51" s="95"/>
      <c r="N51" s="67"/>
      <c r="O51" s="61"/>
      <c r="P51" s="64"/>
      <c r="Q51" s="67"/>
      <c r="R51" s="70"/>
      <c r="S51" s="73"/>
    </row>
    <row r="52" spans="1:19" ht="15">
      <c r="A52" s="33">
        <v>51</v>
      </c>
      <c r="B52" s="34">
        <v>865</v>
      </c>
      <c r="C52" s="34">
        <v>28</v>
      </c>
      <c r="D52" s="34">
        <v>61.9</v>
      </c>
      <c r="E52" s="99"/>
      <c r="F52" s="101"/>
      <c r="G52" s="102"/>
      <c r="H52" s="80"/>
      <c r="I52" s="83"/>
      <c r="J52" s="86"/>
      <c r="K52" s="89"/>
      <c r="L52" s="92"/>
      <c r="M52" s="95"/>
      <c r="N52" s="67"/>
      <c r="O52" s="61"/>
      <c r="P52" s="64"/>
      <c r="Q52" s="67"/>
      <c r="R52" s="70"/>
      <c r="S52" s="73"/>
    </row>
    <row r="53" spans="1:19" ht="15">
      <c r="A53" s="33">
        <v>52</v>
      </c>
      <c r="B53" s="34">
        <v>970</v>
      </c>
      <c r="C53" s="34">
        <v>26</v>
      </c>
      <c r="D53" s="34">
        <v>66.400000000000006</v>
      </c>
      <c r="E53" s="99"/>
      <c r="F53" s="101"/>
      <c r="G53" s="102"/>
      <c r="H53" s="80"/>
      <c r="I53" s="83"/>
      <c r="J53" s="86"/>
      <c r="K53" s="89"/>
      <c r="L53" s="92"/>
      <c r="M53" s="95"/>
      <c r="N53" s="67"/>
      <c r="O53" s="61"/>
      <c r="P53" s="64"/>
      <c r="Q53" s="67"/>
      <c r="R53" s="70"/>
      <c r="S53" s="73"/>
    </row>
    <row r="54" spans="1:19" ht="15">
      <c r="A54" s="33">
        <v>53</v>
      </c>
      <c r="B54" s="34">
        <v>720</v>
      </c>
      <c r="C54" s="34">
        <v>30</v>
      </c>
      <c r="D54" s="34">
        <v>56.3</v>
      </c>
      <c r="E54" s="99"/>
      <c r="F54" s="101"/>
      <c r="G54" s="102"/>
      <c r="H54" s="80"/>
      <c r="I54" s="83"/>
      <c r="J54" s="86"/>
      <c r="K54" s="89"/>
      <c r="L54" s="92"/>
      <c r="M54" s="95"/>
      <c r="N54" s="67"/>
      <c r="O54" s="61"/>
      <c r="P54" s="64"/>
      <c r="Q54" s="67"/>
      <c r="R54" s="70"/>
      <c r="S54" s="73"/>
    </row>
    <row r="55" spans="1:19" ht="15">
      <c r="A55" s="33">
        <v>54</v>
      </c>
      <c r="B55" s="34">
        <v>1185</v>
      </c>
      <c r="C55" s="34">
        <v>25</v>
      </c>
      <c r="D55" s="34">
        <v>71.5</v>
      </c>
      <c r="E55" s="99"/>
      <c r="F55" s="101"/>
      <c r="G55" s="102"/>
      <c r="H55" s="80"/>
      <c r="I55" s="83"/>
      <c r="J55" s="86"/>
      <c r="K55" s="89"/>
      <c r="L55" s="92"/>
      <c r="M55" s="95"/>
      <c r="N55" s="67"/>
      <c r="O55" s="61"/>
      <c r="P55" s="64"/>
      <c r="Q55" s="67"/>
      <c r="R55" s="70"/>
      <c r="S55" s="73"/>
    </row>
    <row r="56" spans="1:19" ht="15">
      <c r="A56" s="33">
        <v>55</v>
      </c>
      <c r="B56" s="34">
        <v>1020</v>
      </c>
      <c r="C56" s="34">
        <v>27</v>
      </c>
      <c r="D56" s="34">
        <v>66.8</v>
      </c>
      <c r="E56" s="99"/>
      <c r="F56" s="101"/>
      <c r="G56" s="102"/>
      <c r="H56" s="80"/>
      <c r="I56" s="83"/>
      <c r="J56" s="86"/>
      <c r="K56" s="89"/>
      <c r="L56" s="92"/>
      <c r="M56" s="95"/>
      <c r="N56" s="67"/>
      <c r="O56" s="61"/>
      <c r="P56" s="64"/>
      <c r="Q56" s="67"/>
      <c r="R56" s="70"/>
      <c r="S56" s="73"/>
    </row>
    <row r="57" spans="1:19" ht="15">
      <c r="A57" s="33">
        <v>56</v>
      </c>
      <c r="B57" s="34">
        <v>780</v>
      </c>
      <c r="C57" s="34">
        <v>29</v>
      </c>
      <c r="D57" s="34">
        <v>59.8</v>
      </c>
      <c r="E57" s="99"/>
      <c r="F57" s="101"/>
      <c r="G57" s="102"/>
      <c r="H57" s="80"/>
      <c r="I57" s="83"/>
      <c r="J57" s="86"/>
      <c r="K57" s="89"/>
      <c r="L57" s="92"/>
      <c r="M57" s="95"/>
      <c r="N57" s="67"/>
      <c r="O57" s="61"/>
      <c r="P57" s="64"/>
      <c r="Q57" s="67"/>
      <c r="R57" s="70"/>
      <c r="S57" s="73"/>
    </row>
    <row r="58" spans="1:19" ht="15">
      <c r="A58" s="33">
        <v>57</v>
      </c>
      <c r="B58" s="34">
        <v>880</v>
      </c>
      <c r="C58" s="34">
        <v>28</v>
      </c>
      <c r="D58" s="34">
        <v>62.7</v>
      </c>
      <c r="E58" s="99"/>
      <c r="F58" s="101"/>
      <c r="G58" s="102"/>
      <c r="H58" s="80"/>
      <c r="I58" s="83"/>
      <c r="J58" s="86"/>
      <c r="K58" s="89"/>
      <c r="L58" s="92"/>
      <c r="M58" s="95"/>
      <c r="N58" s="67"/>
      <c r="O58" s="61"/>
      <c r="P58" s="64"/>
      <c r="Q58" s="67"/>
      <c r="R58" s="70"/>
      <c r="S58" s="73"/>
    </row>
    <row r="59" spans="1:19" ht="15">
      <c r="A59" s="33">
        <v>58</v>
      </c>
      <c r="B59" s="34">
        <v>695</v>
      </c>
      <c r="C59" s="34">
        <v>32</v>
      </c>
      <c r="D59" s="34">
        <v>51</v>
      </c>
      <c r="E59" s="99"/>
      <c r="F59" s="101"/>
      <c r="G59" s="102"/>
      <c r="H59" s="80"/>
      <c r="I59" s="83"/>
      <c r="J59" s="86"/>
      <c r="K59" s="89"/>
      <c r="L59" s="92"/>
      <c r="M59" s="95"/>
      <c r="N59" s="67"/>
      <c r="O59" s="61"/>
      <c r="P59" s="64"/>
      <c r="Q59" s="67"/>
      <c r="R59" s="70"/>
      <c r="S59" s="73"/>
    </row>
    <row r="60" spans="1:19" ht="15">
      <c r="A60" s="33">
        <v>59</v>
      </c>
      <c r="B60" s="34">
        <v>1305</v>
      </c>
      <c r="C60" s="34">
        <v>24</v>
      </c>
      <c r="D60" s="34">
        <v>73.900000000000006</v>
      </c>
      <c r="E60" s="99"/>
      <c r="F60" s="101"/>
      <c r="G60" s="102"/>
      <c r="H60" s="80"/>
      <c r="I60" s="83"/>
      <c r="J60" s="86"/>
      <c r="K60" s="89"/>
      <c r="L60" s="92"/>
      <c r="M60" s="95"/>
      <c r="N60" s="67"/>
      <c r="O60" s="61"/>
      <c r="P60" s="64"/>
      <c r="Q60" s="67"/>
      <c r="R60" s="70"/>
      <c r="S60" s="73"/>
    </row>
    <row r="61" spans="1:19" ht="15">
      <c r="A61" s="33">
        <v>60</v>
      </c>
      <c r="B61" s="34">
        <v>1410</v>
      </c>
      <c r="C61" s="34">
        <v>23</v>
      </c>
      <c r="D61" s="34">
        <v>76.7</v>
      </c>
      <c r="E61" s="99"/>
      <c r="F61" s="101"/>
      <c r="G61" s="102"/>
      <c r="H61" s="80"/>
      <c r="I61" s="83"/>
      <c r="J61" s="86"/>
      <c r="K61" s="89"/>
      <c r="L61" s="92"/>
      <c r="M61" s="95"/>
      <c r="N61" s="67"/>
      <c r="O61" s="61"/>
      <c r="P61" s="64"/>
      <c r="Q61" s="67"/>
      <c r="R61" s="70"/>
      <c r="S61" s="73"/>
    </row>
    <row r="62" spans="1:19" ht="15">
      <c r="A62" s="33">
        <v>61</v>
      </c>
      <c r="B62" s="34">
        <v>910</v>
      </c>
      <c r="C62" s="34">
        <v>27</v>
      </c>
      <c r="D62" s="34">
        <v>65.099999999999994</v>
      </c>
      <c r="E62" s="99"/>
      <c r="F62" s="101"/>
      <c r="G62" s="102"/>
      <c r="H62" s="80"/>
      <c r="I62" s="83"/>
      <c r="J62" s="86"/>
      <c r="K62" s="89"/>
      <c r="L62" s="92"/>
      <c r="M62" s="95"/>
      <c r="N62" s="67"/>
      <c r="O62" s="61"/>
      <c r="P62" s="64"/>
      <c r="Q62" s="67"/>
      <c r="R62" s="70"/>
      <c r="S62" s="73"/>
    </row>
    <row r="63" spans="1:19" ht="15">
      <c r="A63" s="33">
        <v>62</v>
      </c>
      <c r="B63" s="34">
        <v>1035</v>
      </c>
      <c r="C63" s="34">
        <v>26</v>
      </c>
      <c r="D63" s="34">
        <v>68</v>
      </c>
      <c r="E63" s="99"/>
      <c r="F63" s="101"/>
      <c r="G63" s="102"/>
      <c r="H63" s="80"/>
      <c r="I63" s="83"/>
      <c r="J63" s="86"/>
      <c r="K63" s="89"/>
      <c r="L63" s="92"/>
      <c r="M63" s="95"/>
      <c r="N63" s="67"/>
      <c r="O63" s="61"/>
      <c r="P63" s="64"/>
      <c r="Q63" s="67"/>
      <c r="R63" s="70"/>
      <c r="S63" s="73"/>
    </row>
    <row r="64" spans="1:19" ht="15">
      <c r="A64" s="33">
        <v>63</v>
      </c>
      <c r="B64" s="34">
        <v>780</v>
      </c>
      <c r="C64" s="34">
        <v>29</v>
      </c>
      <c r="D64" s="34">
        <v>60.2</v>
      </c>
      <c r="E64" s="99"/>
      <c r="F64" s="101"/>
      <c r="G64" s="102"/>
      <c r="H64" s="80"/>
      <c r="I64" s="83"/>
      <c r="J64" s="86"/>
      <c r="K64" s="89"/>
      <c r="L64" s="92"/>
      <c r="M64" s="95"/>
      <c r="N64" s="67"/>
      <c r="O64" s="61"/>
      <c r="P64" s="64"/>
      <c r="Q64" s="67"/>
      <c r="R64" s="70"/>
      <c r="S64" s="73"/>
    </row>
    <row r="65" spans="1:19" ht="15">
      <c r="A65" s="33">
        <v>64</v>
      </c>
      <c r="B65" s="34">
        <v>1215</v>
      </c>
      <c r="C65" s="34">
        <v>24</v>
      </c>
      <c r="D65" s="34">
        <v>72.5</v>
      </c>
      <c r="E65" s="99"/>
      <c r="F65" s="101"/>
      <c r="G65" s="102"/>
      <c r="H65" s="80"/>
      <c r="I65" s="83"/>
      <c r="J65" s="86"/>
      <c r="K65" s="89"/>
      <c r="L65" s="92"/>
      <c r="M65" s="95"/>
      <c r="N65" s="67"/>
      <c r="O65" s="61"/>
      <c r="P65" s="64"/>
      <c r="Q65" s="67"/>
      <c r="R65" s="70"/>
      <c r="S65" s="73"/>
    </row>
    <row r="66" spans="1:19" ht="15">
      <c r="A66" s="33">
        <v>65</v>
      </c>
      <c r="B66" s="34">
        <v>640</v>
      </c>
      <c r="C66" s="34">
        <v>31</v>
      </c>
      <c r="D66" s="34">
        <v>53.4</v>
      </c>
      <c r="E66" s="99"/>
      <c r="F66" s="101"/>
      <c r="G66" s="102"/>
      <c r="H66" s="80"/>
      <c r="I66" s="83"/>
      <c r="J66" s="86"/>
      <c r="K66" s="89"/>
      <c r="L66" s="92"/>
      <c r="M66" s="95"/>
      <c r="N66" s="67"/>
      <c r="O66" s="61"/>
      <c r="P66" s="64"/>
      <c r="Q66" s="67"/>
      <c r="R66" s="70"/>
      <c r="S66" s="73"/>
    </row>
    <row r="67" spans="1:19" ht="15">
      <c r="A67" s="33">
        <v>66</v>
      </c>
      <c r="B67" s="34">
        <v>1348</v>
      </c>
      <c r="C67" s="34">
        <v>23</v>
      </c>
      <c r="D67" s="34">
        <v>75</v>
      </c>
      <c r="E67" s="99"/>
      <c r="F67" s="101"/>
      <c r="G67" s="102"/>
      <c r="H67" s="80"/>
      <c r="I67" s="83"/>
      <c r="J67" s="86"/>
      <c r="K67" s="89"/>
      <c r="L67" s="92"/>
      <c r="M67" s="95"/>
      <c r="N67" s="67"/>
      <c r="O67" s="61"/>
      <c r="P67" s="64"/>
      <c r="Q67" s="67"/>
      <c r="R67" s="70"/>
      <c r="S67" s="73"/>
    </row>
    <row r="68" spans="1:19" ht="15">
      <c r="A68" s="33">
        <v>67</v>
      </c>
      <c r="B68" s="34">
        <v>890</v>
      </c>
      <c r="C68" s="34">
        <v>28</v>
      </c>
      <c r="D68" s="34">
        <v>63.3</v>
      </c>
      <c r="E68" s="99"/>
      <c r="F68" s="101"/>
      <c r="G68" s="102"/>
      <c r="H68" s="80"/>
      <c r="I68" s="83"/>
      <c r="J68" s="86"/>
      <c r="K68" s="89"/>
      <c r="L68" s="92"/>
      <c r="M68" s="95"/>
      <c r="N68" s="67"/>
      <c r="O68" s="61"/>
      <c r="P68" s="64"/>
      <c r="Q68" s="67"/>
      <c r="R68" s="70"/>
      <c r="S68" s="73"/>
    </row>
    <row r="69" spans="1:19" ht="15">
      <c r="A69" s="33">
        <v>68</v>
      </c>
      <c r="B69" s="34">
        <v>995</v>
      </c>
      <c r="C69" s="34">
        <v>27</v>
      </c>
      <c r="D69" s="34">
        <v>66.2</v>
      </c>
      <c r="E69" s="99"/>
      <c r="F69" s="101"/>
      <c r="G69" s="102"/>
      <c r="H69" s="80"/>
      <c r="I69" s="83"/>
      <c r="J69" s="86"/>
      <c r="K69" s="89"/>
      <c r="L69" s="92"/>
      <c r="M69" s="95"/>
      <c r="N69" s="67"/>
      <c r="O69" s="61"/>
      <c r="P69" s="64"/>
      <c r="Q69" s="67"/>
      <c r="R69" s="70"/>
      <c r="S69" s="73"/>
    </row>
    <row r="70" spans="1:19" ht="15">
      <c r="A70" s="33">
        <v>69</v>
      </c>
      <c r="B70" s="34">
        <v>720</v>
      </c>
      <c r="C70" s="34">
        <v>30</v>
      </c>
      <c r="D70" s="34">
        <v>56.5</v>
      </c>
      <c r="E70" s="99"/>
      <c r="F70" s="101"/>
      <c r="G70" s="102"/>
      <c r="H70" s="80"/>
      <c r="I70" s="83"/>
      <c r="J70" s="86"/>
      <c r="K70" s="89"/>
      <c r="L70" s="92"/>
      <c r="M70" s="95"/>
      <c r="N70" s="67"/>
      <c r="O70" s="61"/>
      <c r="P70" s="64"/>
      <c r="Q70" s="67"/>
      <c r="R70" s="70"/>
      <c r="S70" s="73"/>
    </row>
    <row r="71" spans="1:19" ht="15">
      <c r="A71" s="33">
        <v>70</v>
      </c>
      <c r="B71" s="34">
        <v>1185</v>
      </c>
      <c r="C71" s="34">
        <v>25</v>
      </c>
      <c r="D71" s="34">
        <v>71.599999999999994</v>
      </c>
      <c r="E71" s="99"/>
      <c r="F71" s="101"/>
      <c r="G71" s="102"/>
      <c r="H71" s="80"/>
      <c r="I71" s="83"/>
      <c r="J71" s="86"/>
      <c r="K71" s="89"/>
      <c r="L71" s="92"/>
      <c r="M71" s="95"/>
      <c r="N71" s="67"/>
      <c r="O71" s="61"/>
      <c r="P71" s="64"/>
      <c r="Q71" s="67"/>
      <c r="R71" s="70"/>
      <c r="S71" s="73"/>
    </row>
    <row r="72" spans="1:19" ht="15">
      <c r="A72" s="33">
        <v>71</v>
      </c>
      <c r="B72" s="34">
        <v>660</v>
      </c>
      <c r="C72" s="34">
        <v>32</v>
      </c>
      <c r="D72" s="34">
        <v>50.7</v>
      </c>
      <c r="E72" s="99"/>
      <c r="F72" s="101"/>
      <c r="G72" s="102"/>
      <c r="H72" s="80"/>
      <c r="I72" s="83"/>
      <c r="J72" s="86"/>
      <c r="K72" s="89"/>
      <c r="L72" s="92"/>
      <c r="M72" s="95"/>
      <c r="N72" s="67"/>
      <c r="O72" s="61"/>
      <c r="P72" s="64"/>
      <c r="Q72" s="67"/>
      <c r="R72" s="70"/>
      <c r="S72" s="73"/>
    </row>
    <row r="73" spans="1:19" ht="15">
      <c r="A73" s="33">
        <v>72</v>
      </c>
      <c r="B73" s="34">
        <v>1410</v>
      </c>
      <c r="C73" s="34">
        <v>22</v>
      </c>
      <c r="D73" s="34">
        <v>76.900000000000006</v>
      </c>
      <c r="E73" s="99"/>
      <c r="F73" s="101"/>
      <c r="G73" s="102"/>
      <c r="H73" s="80"/>
      <c r="I73" s="83"/>
      <c r="J73" s="86"/>
      <c r="K73" s="89"/>
      <c r="L73" s="92"/>
      <c r="M73" s="95"/>
      <c r="N73" s="67"/>
      <c r="O73" s="61"/>
      <c r="P73" s="64"/>
      <c r="Q73" s="67"/>
      <c r="R73" s="70"/>
      <c r="S73" s="73"/>
    </row>
    <row r="74" spans="1:19" ht="15">
      <c r="A74" s="33">
        <v>73</v>
      </c>
      <c r="B74" s="34">
        <v>870</v>
      </c>
      <c r="C74" s="34">
        <v>26</v>
      </c>
      <c r="D74" s="34">
        <v>65</v>
      </c>
      <c r="E74" s="99"/>
      <c r="F74" s="101"/>
      <c r="G74" s="102"/>
      <c r="H74" s="80"/>
      <c r="I74" s="83"/>
      <c r="J74" s="86"/>
      <c r="K74" s="89"/>
      <c r="L74" s="92"/>
      <c r="M74" s="95"/>
      <c r="N74" s="67"/>
      <c r="O74" s="61"/>
      <c r="P74" s="64"/>
      <c r="Q74" s="67"/>
      <c r="R74" s="70"/>
      <c r="S74" s="73"/>
    </row>
    <row r="75" spans="1:19" ht="15">
      <c r="A75" s="33">
        <v>74</v>
      </c>
      <c r="B75" s="34">
        <v>950</v>
      </c>
      <c r="C75" s="34">
        <v>27</v>
      </c>
      <c r="D75" s="34">
        <v>64.5</v>
      </c>
      <c r="E75" s="99"/>
      <c r="F75" s="101"/>
      <c r="G75" s="102"/>
      <c r="H75" s="80"/>
      <c r="I75" s="83"/>
      <c r="J75" s="86"/>
      <c r="K75" s="89"/>
      <c r="L75" s="92"/>
      <c r="M75" s="95"/>
      <c r="N75" s="67"/>
      <c r="O75" s="61"/>
      <c r="P75" s="64"/>
      <c r="Q75" s="67"/>
      <c r="R75" s="70"/>
      <c r="S75" s="73"/>
    </row>
    <row r="76" spans="1:19" ht="15">
      <c r="A76" s="33">
        <v>75</v>
      </c>
      <c r="B76" s="34">
        <v>705</v>
      </c>
      <c r="C76" s="34">
        <v>31</v>
      </c>
      <c r="D76" s="34">
        <v>55</v>
      </c>
      <c r="E76" s="99"/>
      <c r="F76" s="101"/>
      <c r="G76" s="102"/>
      <c r="H76" s="80"/>
      <c r="I76" s="83"/>
      <c r="J76" s="86"/>
      <c r="K76" s="89"/>
      <c r="L76" s="92"/>
      <c r="M76" s="95"/>
      <c r="N76" s="67"/>
      <c r="O76" s="61"/>
      <c r="P76" s="64"/>
      <c r="Q76" s="67"/>
      <c r="R76" s="70"/>
      <c r="S76" s="73"/>
    </row>
    <row r="77" spans="1:19" ht="15">
      <c r="A77" s="33">
        <v>76</v>
      </c>
      <c r="B77" s="34">
        <v>1105</v>
      </c>
      <c r="C77" s="34">
        <v>25</v>
      </c>
      <c r="D77" s="34">
        <v>70.099999999999994</v>
      </c>
      <c r="E77" s="99"/>
      <c r="F77" s="101"/>
      <c r="G77" s="102"/>
      <c r="H77" s="80"/>
      <c r="I77" s="83"/>
      <c r="J77" s="86"/>
      <c r="K77" s="89"/>
      <c r="L77" s="92"/>
      <c r="M77" s="95"/>
      <c r="N77" s="67"/>
      <c r="O77" s="61"/>
      <c r="P77" s="64"/>
      <c r="Q77" s="67"/>
      <c r="R77" s="70"/>
      <c r="S77" s="73"/>
    </row>
    <row r="78" spans="1:19" ht="15">
      <c r="A78" s="33">
        <v>77</v>
      </c>
      <c r="B78" s="34">
        <v>840</v>
      </c>
      <c r="C78" s="34">
        <v>29</v>
      </c>
      <c r="D78" s="34">
        <v>60.7</v>
      </c>
      <c r="E78" s="99"/>
      <c r="F78" s="101"/>
      <c r="G78" s="102"/>
      <c r="H78" s="80"/>
      <c r="I78" s="83"/>
      <c r="J78" s="86"/>
      <c r="K78" s="89"/>
      <c r="L78" s="92"/>
      <c r="M78" s="95"/>
      <c r="N78" s="67"/>
      <c r="O78" s="61"/>
      <c r="P78" s="64"/>
      <c r="Q78" s="67"/>
      <c r="R78" s="70"/>
      <c r="S78" s="73"/>
    </row>
    <row r="79" spans="1:19" ht="15">
      <c r="A79" s="33">
        <v>78</v>
      </c>
      <c r="B79" s="34">
        <v>1002</v>
      </c>
      <c r="C79" s="34">
        <v>24</v>
      </c>
      <c r="D79" s="34">
        <v>68.900000000000006</v>
      </c>
      <c r="E79" s="99"/>
      <c r="F79" s="101"/>
      <c r="G79" s="102"/>
      <c r="H79" s="80"/>
      <c r="I79" s="83"/>
      <c r="J79" s="86"/>
      <c r="K79" s="89"/>
      <c r="L79" s="92"/>
      <c r="M79" s="95"/>
      <c r="N79" s="67"/>
      <c r="O79" s="61"/>
      <c r="P79" s="64"/>
      <c r="Q79" s="67"/>
      <c r="R79" s="70"/>
      <c r="S79" s="73"/>
    </row>
    <row r="80" spans="1:19" ht="15">
      <c r="A80" s="33">
        <v>79</v>
      </c>
      <c r="B80" s="34">
        <v>1225</v>
      </c>
      <c r="C80" s="34">
        <v>23</v>
      </c>
      <c r="D80" s="34">
        <v>73.400000000000006</v>
      </c>
      <c r="E80" s="99"/>
      <c r="F80" s="101"/>
      <c r="G80" s="102"/>
      <c r="H80" s="80"/>
      <c r="I80" s="83"/>
      <c r="J80" s="86"/>
      <c r="K80" s="89"/>
      <c r="L80" s="92"/>
      <c r="M80" s="95"/>
      <c r="N80" s="67"/>
      <c r="O80" s="61"/>
      <c r="P80" s="64"/>
      <c r="Q80" s="67"/>
      <c r="R80" s="70"/>
      <c r="S80" s="73"/>
    </row>
    <row r="81" spans="1:19" ht="15">
      <c r="A81" s="33">
        <v>80</v>
      </c>
      <c r="B81" s="34">
        <v>575</v>
      </c>
      <c r="C81" s="34">
        <v>32</v>
      </c>
      <c r="D81" s="34">
        <v>50.2</v>
      </c>
      <c r="E81" s="99"/>
      <c r="F81" s="101"/>
      <c r="G81" s="102"/>
      <c r="H81" s="81"/>
      <c r="I81" s="84"/>
      <c r="J81" s="87"/>
      <c r="K81" s="90"/>
      <c r="L81" s="93"/>
      <c r="M81" s="95"/>
      <c r="N81" s="67"/>
      <c r="O81" s="62"/>
      <c r="P81" s="65"/>
      <c r="Q81" s="68"/>
      <c r="R81" s="71"/>
      <c r="S81" s="74"/>
    </row>
    <row r="82" spans="1:19" ht="16.2" thickBot="1">
      <c r="A82" s="33">
        <v>81</v>
      </c>
      <c r="B82" s="34">
        <v>1455</v>
      </c>
      <c r="C82" s="34">
        <v>22</v>
      </c>
      <c r="D82" s="34">
        <v>78</v>
      </c>
      <c r="E82" s="28">
        <f>96.24 + 0.013*B82 - 1.634*C82</f>
        <v>79.206999999999994</v>
      </c>
      <c r="F82" s="28">
        <f>ABS(D82-E82)</f>
        <v>1.2069999999999936</v>
      </c>
      <c r="G82" s="100">
        <f>AVERAGE(F82:F101)</f>
        <v>0.72770000000000112</v>
      </c>
      <c r="H82" s="36">
        <f>F82^2</f>
        <v>1.4568489999999847</v>
      </c>
      <c r="I82" s="96">
        <f>AVERAGE(H82:H101)</f>
        <v>0.67681700000000078</v>
      </c>
      <c r="J82" s="97">
        <f>SQRT(I82)</f>
        <v>0.82268888408681007</v>
      </c>
      <c r="K82" s="78">
        <f>AVERAGE(E82:E101)</f>
        <v>66.575999999999993</v>
      </c>
      <c r="L82" s="35">
        <f>E82-D82</f>
        <v>1.2069999999999936</v>
      </c>
      <c r="M82" s="36">
        <f>L82*L82</f>
        <v>1.4568489999999847</v>
      </c>
      <c r="N82" s="105">
        <f>SUM(M82:M101)</f>
        <v>13.536340000000015</v>
      </c>
      <c r="O82" s="104">
        <f>D82-K82</f>
        <v>11.424000000000007</v>
      </c>
      <c r="P82" s="36">
        <f>O82*O82</f>
        <v>130.50777600000015</v>
      </c>
      <c r="Q82" s="75">
        <f>SUM(P82:P101)</f>
        <v>84945.937776000021</v>
      </c>
      <c r="R82" s="36">
        <f>N82/P82</f>
        <v>0.10372056298009399</v>
      </c>
      <c r="S82" s="36">
        <f>1-R82</f>
        <v>0.89627943701990598</v>
      </c>
    </row>
    <row r="83" spans="1:19" ht="16.8" thickTop="1" thickBot="1">
      <c r="A83" s="33">
        <v>82</v>
      </c>
      <c r="B83" s="34">
        <v>1365</v>
      </c>
      <c r="C83" s="34">
        <v>24</v>
      </c>
      <c r="D83" s="34">
        <v>75.8</v>
      </c>
      <c r="E83" s="28">
        <f t="shared" ref="E83:E101" si="0">96.24 + 0.013*B83 - 1.634*C83</f>
        <v>74.768999999999991</v>
      </c>
      <c r="F83" s="28">
        <f t="shared" ref="F83:F101" si="1">ABS(D83-E83)</f>
        <v>1.0310000000000059</v>
      </c>
      <c r="G83" s="100"/>
      <c r="H83" s="36">
        <f t="shared" ref="H83:H101" si="2">F83^2</f>
        <v>1.0629610000000123</v>
      </c>
      <c r="I83" s="96"/>
      <c r="J83" s="97"/>
      <c r="K83" s="78"/>
      <c r="L83" s="35">
        <f t="shared" ref="L83:L101" si="3">E83-D83</f>
        <v>-1.0310000000000059</v>
      </c>
      <c r="M83" s="36">
        <f t="shared" ref="M83:M101" si="4">L83*L83</f>
        <v>1.0629610000000123</v>
      </c>
      <c r="N83" s="106"/>
      <c r="O83" s="104">
        <f t="shared" ref="O83:O101" si="5">D83-K83</f>
        <v>75.8</v>
      </c>
      <c r="P83" s="36">
        <f t="shared" ref="P83:P101" si="6">O83*O83</f>
        <v>5745.6399999999994</v>
      </c>
      <c r="Q83" s="76"/>
      <c r="R83" s="36">
        <f t="shared" ref="R83:R101" si="7">N83/P83</f>
        <v>0</v>
      </c>
      <c r="S83" s="36">
        <f t="shared" ref="S83:S101" si="8">1-R83</f>
        <v>1</v>
      </c>
    </row>
    <row r="84" spans="1:19" ht="16.8" thickTop="1" thickBot="1">
      <c r="A84" s="33">
        <v>83</v>
      </c>
      <c r="B84" s="34">
        <v>985</v>
      </c>
      <c r="C84" s="34">
        <v>26</v>
      </c>
      <c r="D84" s="34">
        <v>67.2</v>
      </c>
      <c r="E84" s="28">
        <f t="shared" si="0"/>
        <v>66.560999999999993</v>
      </c>
      <c r="F84" s="28">
        <f t="shared" si="1"/>
        <v>0.63900000000001</v>
      </c>
      <c r="G84" s="100"/>
      <c r="H84" s="36">
        <f t="shared" si="2"/>
        <v>0.40832100000001281</v>
      </c>
      <c r="I84" s="96"/>
      <c r="J84" s="97"/>
      <c r="K84" s="78"/>
      <c r="L84" s="35">
        <f t="shared" si="3"/>
        <v>-0.63900000000001</v>
      </c>
      <c r="M84" s="36">
        <f t="shared" si="4"/>
        <v>0.40832100000001281</v>
      </c>
      <c r="N84" s="106"/>
      <c r="O84" s="104">
        <f t="shared" si="5"/>
        <v>67.2</v>
      </c>
      <c r="P84" s="36">
        <f t="shared" si="6"/>
        <v>4515.84</v>
      </c>
      <c r="Q84" s="76"/>
      <c r="R84" s="36">
        <f t="shared" si="7"/>
        <v>0</v>
      </c>
      <c r="S84" s="36">
        <f t="shared" si="8"/>
        <v>1</v>
      </c>
    </row>
    <row r="85" spans="1:19" ht="16.8" thickTop="1" thickBot="1">
      <c r="A85" s="33">
        <v>84</v>
      </c>
      <c r="B85" s="34">
        <v>875</v>
      </c>
      <c r="C85" s="34">
        <v>28</v>
      </c>
      <c r="D85" s="34">
        <v>62.8</v>
      </c>
      <c r="E85" s="28">
        <f t="shared" si="0"/>
        <v>61.863</v>
      </c>
      <c r="F85" s="28">
        <f t="shared" si="1"/>
        <v>0.93699999999999761</v>
      </c>
      <c r="G85" s="100"/>
      <c r="H85" s="36">
        <f t="shared" si="2"/>
        <v>0.87796899999999556</v>
      </c>
      <c r="I85" s="96"/>
      <c r="J85" s="97"/>
      <c r="K85" s="78"/>
      <c r="L85" s="35">
        <f t="shared" si="3"/>
        <v>-0.93699999999999761</v>
      </c>
      <c r="M85" s="36">
        <f t="shared" si="4"/>
        <v>0.87796899999999556</v>
      </c>
      <c r="N85" s="106"/>
      <c r="O85" s="104">
        <f t="shared" si="5"/>
        <v>62.8</v>
      </c>
      <c r="P85" s="36">
        <f t="shared" si="6"/>
        <v>3943.8399999999997</v>
      </c>
      <c r="Q85" s="76"/>
      <c r="R85" s="36">
        <f t="shared" si="7"/>
        <v>0</v>
      </c>
      <c r="S85" s="36">
        <f t="shared" si="8"/>
        <v>1</v>
      </c>
    </row>
    <row r="86" spans="1:19" ht="16.8" thickTop="1" thickBot="1">
      <c r="A86" s="33">
        <v>85</v>
      </c>
      <c r="B86" s="34">
        <v>730</v>
      </c>
      <c r="C86" s="34">
        <v>30</v>
      </c>
      <c r="D86" s="34">
        <v>57.1</v>
      </c>
      <c r="E86" s="28">
        <f t="shared" si="0"/>
        <v>56.709999999999994</v>
      </c>
      <c r="F86" s="28">
        <f t="shared" si="1"/>
        <v>0.39000000000000767</v>
      </c>
      <c r="G86" s="100"/>
      <c r="H86" s="36">
        <f t="shared" si="2"/>
        <v>0.15210000000000598</v>
      </c>
      <c r="I86" s="96"/>
      <c r="J86" s="97"/>
      <c r="K86" s="78"/>
      <c r="L86" s="35">
        <f t="shared" si="3"/>
        <v>-0.39000000000000767</v>
      </c>
      <c r="M86" s="36">
        <f t="shared" si="4"/>
        <v>0.15210000000000598</v>
      </c>
      <c r="N86" s="106"/>
      <c r="O86" s="104">
        <f t="shared" si="5"/>
        <v>57.1</v>
      </c>
      <c r="P86" s="36">
        <f t="shared" si="6"/>
        <v>3260.4100000000003</v>
      </c>
      <c r="Q86" s="76"/>
      <c r="R86" s="36">
        <f t="shared" si="7"/>
        <v>0</v>
      </c>
      <c r="S86" s="36">
        <f t="shared" si="8"/>
        <v>1</v>
      </c>
    </row>
    <row r="87" spans="1:19" ht="16.8" thickTop="1" thickBot="1">
      <c r="A87" s="33">
        <v>86</v>
      </c>
      <c r="B87" s="34">
        <v>1135</v>
      </c>
      <c r="C87" s="34">
        <v>25</v>
      </c>
      <c r="D87" s="34">
        <v>71</v>
      </c>
      <c r="E87" s="28">
        <f t="shared" si="0"/>
        <v>70.144999999999996</v>
      </c>
      <c r="F87" s="28">
        <f t="shared" si="1"/>
        <v>0.85500000000000398</v>
      </c>
      <c r="G87" s="100"/>
      <c r="H87" s="36">
        <f t="shared" si="2"/>
        <v>0.73102500000000681</v>
      </c>
      <c r="I87" s="96"/>
      <c r="J87" s="97"/>
      <c r="K87" s="78"/>
      <c r="L87" s="35">
        <f t="shared" si="3"/>
        <v>-0.85500000000000398</v>
      </c>
      <c r="M87" s="36">
        <f t="shared" si="4"/>
        <v>0.73102500000000681</v>
      </c>
      <c r="N87" s="106"/>
      <c r="O87" s="104">
        <f t="shared" si="5"/>
        <v>71</v>
      </c>
      <c r="P87" s="36">
        <f t="shared" si="6"/>
        <v>5041</v>
      </c>
      <c r="Q87" s="76"/>
      <c r="R87" s="36">
        <f t="shared" si="7"/>
        <v>0</v>
      </c>
      <c r="S87" s="36">
        <f t="shared" si="8"/>
        <v>1</v>
      </c>
    </row>
    <row r="88" spans="1:19" ht="16.8" thickTop="1" thickBot="1">
      <c r="A88" s="33">
        <v>87</v>
      </c>
      <c r="B88" s="34">
        <v>920</v>
      </c>
      <c r="C88" s="34">
        <v>27</v>
      </c>
      <c r="D88" s="34">
        <v>64.8</v>
      </c>
      <c r="E88" s="28">
        <f t="shared" si="0"/>
        <v>64.081999999999994</v>
      </c>
      <c r="F88" s="28">
        <f t="shared" si="1"/>
        <v>0.71800000000000352</v>
      </c>
      <c r="G88" s="100"/>
      <c r="H88" s="36">
        <f t="shared" si="2"/>
        <v>0.51552400000000509</v>
      </c>
      <c r="I88" s="96"/>
      <c r="J88" s="97"/>
      <c r="K88" s="78"/>
      <c r="L88" s="35">
        <f t="shared" si="3"/>
        <v>-0.71800000000000352</v>
      </c>
      <c r="M88" s="36">
        <f t="shared" si="4"/>
        <v>0.51552400000000509</v>
      </c>
      <c r="N88" s="106"/>
      <c r="O88" s="104">
        <f t="shared" si="5"/>
        <v>64.8</v>
      </c>
      <c r="P88" s="36">
        <f t="shared" si="6"/>
        <v>4199.04</v>
      </c>
      <c r="Q88" s="76"/>
      <c r="R88" s="36">
        <f t="shared" si="7"/>
        <v>0</v>
      </c>
      <c r="S88" s="36">
        <f t="shared" si="8"/>
        <v>1</v>
      </c>
    </row>
    <row r="89" spans="1:19" ht="16.8" thickTop="1" thickBot="1">
      <c r="A89" s="33">
        <v>88</v>
      </c>
      <c r="B89" s="34">
        <v>1015</v>
      </c>
      <c r="C89" s="34">
        <v>26</v>
      </c>
      <c r="D89" s="34">
        <v>67.7</v>
      </c>
      <c r="E89" s="28">
        <f t="shared" si="0"/>
        <v>66.950999999999993</v>
      </c>
      <c r="F89" s="28">
        <f t="shared" si="1"/>
        <v>0.74900000000000944</v>
      </c>
      <c r="G89" s="100"/>
      <c r="H89" s="36">
        <f t="shared" si="2"/>
        <v>0.56100100000001418</v>
      </c>
      <c r="I89" s="96"/>
      <c r="J89" s="97"/>
      <c r="K89" s="78"/>
      <c r="L89" s="35">
        <f t="shared" si="3"/>
        <v>-0.74900000000000944</v>
      </c>
      <c r="M89" s="36">
        <f t="shared" si="4"/>
        <v>0.56100100000001418</v>
      </c>
      <c r="N89" s="106"/>
      <c r="O89" s="104">
        <f t="shared" si="5"/>
        <v>67.7</v>
      </c>
      <c r="P89" s="36">
        <f t="shared" si="6"/>
        <v>4583.29</v>
      </c>
      <c r="Q89" s="76"/>
      <c r="R89" s="36">
        <f t="shared" si="7"/>
        <v>0</v>
      </c>
      <c r="S89" s="36">
        <f t="shared" si="8"/>
        <v>1</v>
      </c>
    </row>
    <row r="90" spans="1:19" ht="13.8" customHeight="1" thickTop="1" thickBot="1">
      <c r="A90" s="33">
        <v>89</v>
      </c>
      <c r="B90" s="34">
        <v>655</v>
      </c>
      <c r="C90" s="34">
        <v>31</v>
      </c>
      <c r="D90" s="34">
        <v>53.8</v>
      </c>
      <c r="E90" s="28">
        <f t="shared" si="0"/>
        <v>54.100999999999999</v>
      </c>
      <c r="F90" s="28">
        <f t="shared" si="1"/>
        <v>0.30100000000000193</v>
      </c>
      <c r="G90" s="100"/>
      <c r="H90" s="36">
        <f t="shared" si="2"/>
        <v>9.0601000000001167E-2</v>
      </c>
      <c r="I90" s="96"/>
      <c r="J90" s="97"/>
      <c r="K90" s="78"/>
      <c r="L90" s="35">
        <f t="shared" si="3"/>
        <v>0.30100000000000193</v>
      </c>
      <c r="M90" s="36">
        <f t="shared" si="4"/>
        <v>9.0601000000001167E-2</v>
      </c>
      <c r="N90" s="106"/>
      <c r="O90" s="104">
        <f t="shared" si="5"/>
        <v>53.8</v>
      </c>
      <c r="P90" s="36">
        <f t="shared" si="6"/>
        <v>2894.4399999999996</v>
      </c>
      <c r="Q90" s="76"/>
      <c r="R90" s="36">
        <f t="shared" si="7"/>
        <v>0</v>
      </c>
      <c r="S90" s="36">
        <f t="shared" si="8"/>
        <v>1</v>
      </c>
    </row>
    <row r="91" spans="1:19" ht="13.8" customHeight="1" thickTop="1" thickBot="1">
      <c r="A91" s="33">
        <v>90</v>
      </c>
      <c r="B91" s="34">
        <v>1425</v>
      </c>
      <c r="C91" s="34">
        <v>23</v>
      </c>
      <c r="D91" s="34">
        <v>77.2</v>
      </c>
      <c r="E91" s="28">
        <f t="shared" si="0"/>
        <v>77.182999999999993</v>
      </c>
      <c r="F91" s="28">
        <f t="shared" si="1"/>
        <v>1.7000000000010118E-2</v>
      </c>
      <c r="G91" s="100"/>
      <c r="H91" s="36">
        <f t="shared" si="2"/>
        <v>2.8900000000034399E-4</v>
      </c>
      <c r="I91" s="96"/>
      <c r="J91" s="97"/>
      <c r="K91" s="78"/>
      <c r="L91" s="35">
        <f t="shared" si="3"/>
        <v>-1.7000000000010118E-2</v>
      </c>
      <c r="M91" s="36">
        <f t="shared" si="4"/>
        <v>2.8900000000034399E-4</v>
      </c>
      <c r="N91" s="106"/>
      <c r="O91" s="104">
        <f t="shared" si="5"/>
        <v>77.2</v>
      </c>
      <c r="P91" s="36">
        <f t="shared" si="6"/>
        <v>5959.84</v>
      </c>
      <c r="Q91" s="76"/>
      <c r="R91" s="36">
        <f t="shared" si="7"/>
        <v>0</v>
      </c>
      <c r="S91" s="36">
        <f t="shared" si="8"/>
        <v>1</v>
      </c>
    </row>
    <row r="92" spans="1:19" ht="13.8" customHeight="1" thickTop="1" thickBot="1">
      <c r="A92" s="33">
        <v>91</v>
      </c>
      <c r="B92" s="34">
        <v>1335</v>
      </c>
      <c r="C92" s="34">
        <v>24</v>
      </c>
      <c r="D92" s="34">
        <v>74.900000000000006</v>
      </c>
      <c r="E92" s="28">
        <f t="shared" si="0"/>
        <v>74.379000000000005</v>
      </c>
      <c r="F92" s="28">
        <f t="shared" si="1"/>
        <v>0.5210000000000008</v>
      </c>
      <c r="G92" s="100"/>
      <c r="H92" s="36">
        <f t="shared" si="2"/>
        <v>0.27144100000000082</v>
      </c>
      <c r="I92" s="96"/>
      <c r="J92" s="97"/>
      <c r="K92" s="78"/>
      <c r="L92" s="35">
        <f t="shared" si="3"/>
        <v>-0.5210000000000008</v>
      </c>
      <c r="M92" s="36">
        <f t="shared" si="4"/>
        <v>0.27144100000000082</v>
      </c>
      <c r="N92" s="106"/>
      <c r="O92" s="104">
        <f t="shared" si="5"/>
        <v>74.900000000000006</v>
      </c>
      <c r="P92" s="36">
        <f t="shared" si="6"/>
        <v>5610.0100000000011</v>
      </c>
      <c r="Q92" s="76"/>
      <c r="R92" s="36">
        <f t="shared" si="7"/>
        <v>0</v>
      </c>
      <c r="S92" s="36">
        <f t="shared" si="8"/>
        <v>1</v>
      </c>
    </row>
    <row r="93" spans="1:19" ht="13.8" customHeight="1" thickTop="1" thickBot="1">
      <c r="A93" s="33">
        <v>92</v>
      </c>
      <c r="B93" s="34">
        <v>905</v>
      </c>
      <c r="C93" s="34">
        <v>29</v>
      </c>
      <c r="D93" s="34">
        <v>61.3</v>
      </c>
      <c r="E93" s="28">
        <f t="shared" si="0"/>
        <v>60.619</v>
      </c>
      <c r="F93" s="28">
        <f t="shared" si="1"/>
        <v>0.68099999999999739</v>
      </c>
      <c r="G93" s="100"/>
      <c r="H93" s="36">
        <f t="shared" si="2"/>
        <v>0.46376099999999643</v>
      </c>
      <c r="I93" s="96"/>
      <c r="J93" s="97"/>
      <c r="K93" s="78"/>
      <c r="L93" s="35">
        <f t="shared" si="3"/>
        <v>-0.68099999999999739</v>
      </c>
      <c r="M93" s="36">
        <f t="shared" si="4"/>
        <v>0.46376099999999643</v>
      </c>
      <c r="N93" s="106"/>
      <c r="O93" s="104">
        <f t="shared" si="5"/>
        <v>61.3</v>
      </c>
      <c r="P93" s="36">
        <f t="shared" si="6"/>
        <v>3757.6899999999996</v>
      </c>
      <c r="Q93" s="76"/>
      <c r="R93" s="36">
        <f t="shared" si="7"/>
        <v>0</v>
      </c>
      <c r="S93" s="36">
        <f t="shared" si="8"/>
        <v>1</v>
      </c>
    </row>
    <row r="94" spans="1:19" ht="13.8" customHeight="1" thickTop="1" thickBot="1">
      <c r="A94" s="33">
        <v>93</v>
      </c>
      <c r="B94" s="34">
        <v>960</v>
      </c>
      <c r="C94" s="34">
        <v>27</v>
      </c>
      <c r="D94" s="34">
        <v>65.599999999999994</v>
      </c>
      <c r="E94" s="28">
        <f t="shared" si="0"/>
        <v>64.602000000000004</v>
      </c>
      <c r="F94" s="28">
        <f t="shared" si="1"/>
        <v>0.99799999999999045</v>
      </c>
      <c r="G94" s="100"/>
      <c r="H94" s="36">
        <f t="shared" si="2"/>
        <v>0.9960039999999809</v>
      </c>
      <c r="I94" s="96"/>
      <c r="J94" s="97"/>
      <c r="K94" s="78"/>
      <c r="L94" s="35">
        <f t="shared" si="3"/>
        <v>-0.99799999999999045</v>
      </c>
      <c r="M94" s="36">
        <f t="shared" si="4"/>
        <v>0.9960039999999809</v>
      </c>
      <c r="N94" s="106"/>
      <c r="O94" s="104">
        <f t="shared" si="5"/>
        <v>65.599999999999994</v>
      </c>
      <c r="P94" s="36">
        <f t="shared" si="6"/>
        <v>4303.3599999999997</v>
      </c>
      <c r="Q94" s="76"/>
      <c r="R94" s="36">
        <f t="shared" si="7"/>
        <v>0</v>
      </c>
      <c r="S94" s="36">
        <f t="shared" si="8"/>
        <v>1</v>
      </c>
    </row>
    <row r="95" spans="1:19" ht="13.8" customHeight="1" thickTop="1" thickBot="1">
      <c r="A95" s="33">
        <v>94</v>
      </c>
      <c r="B95" s="34">
        <v>770</v>
      </c>
      <c r="C95" s="34">
        <v>30</v>
      </c>
      <c r="D95" s="34">
        <v>58</v>
      </c>
      <c r="E95" s="28">
        <f t="shared" si="0"/>
        <v>57.230000000000004</v>
      </c>
      <c r="F95" s="28">
        <f t="shared" si="1"/>
        <v>0.76999999999999602</v>
      </c>
      <c r="G95" s="100"/>
      <c r="H95" s="36">
        <f t="shared" si="2"/>
        <v>0.59289999999999388</v>
      </c>
      <c r="I95" s="96"/>
      <c r="J95" s="97"/>
      <c r="K95" s="78"/>
      <c r="L95" s="35">
        <f t="shared" si="3"/>
        <v>-0.76999999999999602</v>
      </c>
      <c r="M95" s="36">
        <f t="shared" si="4"/>
        <v>0.59289999999999388</v>
      </c>
      <c r="N95" s="106"/>
      <c r="O95" s="104">
        <f t="shared" si="5"/>
        <v>58</v>
      </c>
      <c r="P95" s="36">
        <f t="shared" si="6"/>
        <v>3364</v>
      </c>
      <c r="Q95" s="76"/>
      <c r="R95" s="36">
        <f t="shared" si="7"/>
        <v>0</v>
      </c>
      <c r="S95" s="36">
        <f t="shared" si="8"/>
        <v>1</v>
      </c>
    </row>
    <row r="96" spans="1:19" ht="13.8" customHeight="1" thickTop="1" thickBot="1">
      <c r="A96" s="33">
        <v>95</v>
      </c>
      <c r="B96" s="34">
        <v>1195</v>
      </c>
      <c r="C96" s="34">
        <v>25</v>
      </c>
      <c r="D96" s="34">
        <v>72</v>
      </c>
      <c r="E96" s="28">
        <f t="shared" si="0"/>
        <v>70.924999999999997</v>
      </c>
      <c r="F96" s="28">
        <f t="shared" si="1"/>
        <v>1.0750000000000028</v>
      </c>
      <c r="G96" s="100"/>
      <c r="H96" s="36">
        <f t="shared" si="2"/>
        <v>1.1556250000000061</v>
      </c>
      <c r="I96" s="96"/>
      <c r="J96" s="97"/>
      <c r="K96" s="78"/>
      <c r="L96" s="35">
        <f t="shared" si="3"/>
        <v>-1.0750000000000028</v>
      </c>
      <c r="M96" s="36">
        <f t="shared" si="4"/>
        <v>1.1556250000000061</v>
      </c>
      <c r="N96" s="106"/>
      <c r="O96" s="104">
        <f t="shared" si="5"/>
        <v>72</v>
      </c>
      <c r="P96" s="36">
        <f t="shared" si="6"/>
        <v>5184</v>
      </c>
      <c r="Q96" s="76"/>
      <c r="R96" s="36">
        <f t="shared" si="7"/>
        <v>0</v>
      </c>
      <c r="S96" s="36">
        <f t="shared" si="8"/>
        <v>1</v>
      </c>
    </row>
    <row r="97" spans="1:19" ht="16.8" thickTop="1" thickBot="1">
      <c r="A97" s="33">
        <v>96</v>
      </c>
      <c r="B97" s="34">
        <v>850</v>
      </c>
      <c r="C97" s="34">
        <v>28</v>
      </c>
      <c r="D97" s="34">
        <v>62.2</v>
      </c>
      <c r="E97" s="28">
        <f t="shared" si="0"/>
        <v>61.537999999999997</v>
      </c>
      <c r="F97" s="28">
        <f t="shared" si="1"/>
        <v>0.66200000000000614</v>
      </c>
      <c r="G97" s="100"/>
      <c r="H97" s="36">
        <f t="shared" si="2"/>
        <v>0.43824400000000813</v>
      </c>
      <c r="I97" s="96"/>
      <c r="J97" s="97"/>
      <c r="K97" s="78"/>
      <c r="L97" s="35">
        <f t="shared" si="3"/>
        <v>-0.66200000000000614</v>
      </c>
      <c r="M97" s="36">
        <f t="shared" si="4"/>
        <v>0.43824400000000813</v>
      </c>
      <c r="N97" s="106"/>
      <c r="O97" s="104">
        <f t="shared" si="5"/>
        <v>62.2</v>
      </c>
      <c r="P97" s="36">
        <f t="shared" si="6"/>
        <v>3868.84</v>
      </c>
      <c r="Q97" s="76"/>
      <c r="R97" s="36">
        <f t="shared" si="7"/>
        <v>0</v>
      </c>
      <c r="S97" s="36">
        <f t="shared" si="8"/>
        <v>1</v>
      </c>
    </row>
    <row r="98" spans="1:19" ht="16.8" thickTop="1" thickBot="1">
      <c r="A98" s="33">
        <v>97</v>
      </c>
      <c r="B98" s="34">
        <v>1040</v>
      </c>
      <c r="C98" s="34">
        <v>26</v>
      </c>
      <c r="D98" s="34">
        <v>68.400000000000006</v>
      </c>
      <c r="E98" s="28">
        <f t="shared" si="0"/>
        <v>67.275999999999996</v>
      </c>
      <c r="F98" s="28">
        <f t="shared" si="1"/>
        <v>1.1240000000000094</v>
      </c>
      <c r="G98" s="100"/>
      <c r="H98" s="36">
        <f t="shared" si="2"/>
        <v>1.2633760000000211</v>
      </c>
      <c r="I98" s="96"/>
      <c r="J98" s="97"/>
      <c r="K98" s="78"/>
      <c r="L98" s="35">
        <f t="shared" si="3"/>
        <v>-1.1240000000000094</v>
      </c>
      <c r="M98" s="36">
        <f t="shared" si="4"/>
        <v>1.2633760000000211</v>
      </c>
      <c r="N98" s="106"/>
      <c r="O98" s="104">
        <f t="shared" si="5"/>
        <v>68.400000000000006</v>
      </c>
      <c r="P98" s="36">
        <f t="shared" si="6"/>
        <v>4678.5600000000004</v>
      </c>
      <c r="Q98" s="76"/>
      <c r="R98" s="36">
        <f t="shared" si="7"/>
        <v>0</v>
      </c>
      <c r="S98" s="36">
        <f t="shared" si="8"/>
        <v>1</v>
      </c>
    </row>
    <row r="99" spans="1:19" ht="16.8" thickTop="1" thickBot="1">
      <c r="A99" s="33">
        <v>98</v>
      </c>
      <c r="B99" s="34">
        <v>700</v>
      </c>
      <c r="C99" s="34">
        <v>32</v>
      </c>
      <c r="D99" s="34">
        <v>51.5</v>
      </c>
      <c r="E99" s="28">
        <f t="shared" si="0"/>
        <v>53.051999999999992</v>
      </c>
      <c r="F99" s="28">
        <f t="shared" si="1"/>
        <v>1.5519999999999925</v>
      </c>
      <c r="G99" s="100"/>
      <c r="H99" s="36">
        <f t="shared" si="2"/>
        <v>2.4087039999999766</v>
      </c>
      <c r="I99" s="96"/>
      <c r="J99" s="97"/>
      <c r="K99" s="78"/>
      <c r="L99" s="35">
        <f t="shared" si="3"/>
        <v>1.5519999999999925</v>
      </c>
      <c r="M99" s="36">
        <f t="shared" si="4"/>
        <v>2.4087039999999766</v>
      </c>
      <c r="N99" s="106"/>
      <c r="O99" s="104">
        <f t="shared" si="5"/>
        <v>51.5</v>
      </c>
      <c r="P99" s="36">
        <f t="shared" si="6"/>
        <v>2652.25</v>
      </c>
      <c r="Q99" s="76"/>
      <c r="R99" s="36">
        <f t="shared" si="7"/>
        <v>0</v>
      </c>
      <c r="S99" s="36">
        <f t="shared" si="8"/>
        <v>1</v>
      </c>
    </row>
    <row r="100" spans="1:19" ht="16.8" thickTop="1" thickBot="1">
      <c r="A100" s="33">
        <v>99</v>
      </c>
      <c r="B100" s="34">
        <v>1285</v>
      </c>
      <c r="C100" s="34">
        <v>24</v>
      </c>
      <c r="D100" s="34">
        <v>73.7</v>
      </c>
      <c r="E100" s="28">
        <f t="shared" si="0"/>
        <v>73.728999999999999</v>
      </c>
      <c r="F100" s="28">
        <f t="shared" si="1"/>
        <v>2.8999999999996362E-2</v>
      </c>
      <c r="G100" s="100"/>
      <c r="H100" s="36">
        <f t="shared" si="2"/>
        <v>8.4099999999978896E-4</v>
      </c>
      <c r="I100" s="96"/>
      <c r="J100" s="97"/>
      <c r="K100" s="78"/>
      <c r="L100" s="35">
        <f t="shared" si="3"/>
        <v>2.8999999999996362E-2</v>
      </c>
      <c r="M100" s="36">
        <f t="shared" si="4"/>
        <v>8.4099999999978896E-4</v>
      </c>
      <c r="N100" s="106"/>
      <c r="O100" s="104">
        <f t="shared" si="5"/>
        <v>73.7</v>
      </c>
      <c r="P100" s="36">
        <f t="shared" si="6"/>
        <v>5431.6900000000005</v>
      </c>
      <c r="Q100" s="76"/>
      <c r="R100" s="36">
        <f t="shared" si="7"/>
        <v>0</v>
      </c>
      <c r="S100" s="36">
        <f t="shared" si="8"/>
        <v>1</v>
      </c>
    </row>
    <row r="101" spans="1:19" ht="16.2" thickTop="1">
      <c r="A101" s="33">
        <v>100</v>
      </c>
      <c r="B101" s="34">
        <v>1380</v>
      </c>
      <c r="C101" s="34">
        <v>23</v>
      </c>
      <c r="D101" s="34">
        <v>76.3</v>
      </c>
      <c r="E101" s="28">
        <f t="shared" si="0"/>
        <v>76.597999999999985</v>
      </c>
      <c r="F101" s="28">
        <f t="shared" si="1"/>
        <v>0.29799999999998761</v>
      </c>
      <c r="G101" s="100"/>
      <c r="H101" s="36">
        <f t="shared" si="2"/>
        <v>8.8803999999992611E-2</v>
      </c>
      <c r="I101" s="96"/>
      <c r="J101" s="97"/>
      <c r="K101" s="78"/>
      <c r="L101" s="35">
        <f t="shared" si="3"/>
        <v>0.29799999999998761</v>
      </c>
      <c r="M101" s="36">
        <f t="shared" si="4"/>
        <v>8.8803999999992611E-2</v>
      </c>
      <c r="N101" s="107"/>
      <c r="O101" s="36">
        <f t="shared" si="5"/>
        <v>76.3</v>
      </c>
      <c r="P101" s="36">
        <f t="shared" si="6"/>
        <v>5821.69</v>
      </c>
      <c r="Q101" s="77"/>
      <c r="R101" s="36">
        <f t="shared" si="7"/>
        <v>0</v>
      </c>
      <c r="S101" s="36">
        <f t="shared" si="8"/>
        <v>1</v>
      </c>
    </row>
    <row r="102" spans="1:19">
      <c r="A102" s="103"/>
      <c r="B102" s="29"/>
      <c r="D102" s="29"/>
      <c r="E102" s="29"/>
      <c r="F102" s="29"/>
      <c r="G102" s="27"/>
      <c r="H102" s="27"/>
      <c r="I102" s="27"/>
      <c r="J102" s="38"/>
      <c r="M102" s="27"/>
      <c r="N102" s="27"/>
      <c r="O102" s="27"/>
      <c r="P102" s="27"/>
      <c r="Q102" s="27"/>
      <c r="R102" s="27"/>
      <c r="S102" s="27"/>
    </row>
    <row r="103" spans="1:19">
      <c r="A103" s="103"/>
      <c r="B103" s="29"/>
      <c r="D103" s="29"/>
      <c r="E103" s="29"/>
      <c r="F103" s="29"/>
      <c r="G103" s="27"/>
      <c r="H103" s="27"/>
      <c r="I103" s="27"/>
      <c r="J103" s="27"/>
      <c r="K103" s="27"/>
      <c r="L103" s="27"/>
      <c r="M103" s="27"/>
      <c r="N103" s="27"/>
      <c r="O103" s="27"/>
      <c r="P103" s="27"/>
      <c r="Q103" s="27"/>
      <c r="R103" s="27"/>
      <c r="S103" s="27"/>
    </row>
    <row r="104" spans="1:19">
      <c r="A104" s="103"/>
      <c r="B104" s="29"/>
      <c r="D104" s="29"/>
      <c r="E104" s="2"/>
      <c r="F104" s="29"/>
      <c r="G104" s="27"/>
      <c r="H104" s="27"/>
      <c r="I104" s="27"/>
      <c r="J104" s="27"/>
      <c r="K104" s="27"/>
      <c r="L104" s="27"/>
      <c r="M104" s="27"/>
      <c r="N104" s="27"/>
      <c r="O104" s="27"/>
      <c r="P104" s="27"/>
      <c r="Q104" s="27"/>
      <c r="R104" s="27"/>
      <c r="S104" s="27"/>
    </row>
    <row r="105" spans="1:19">
      <c r="A105" s="103"/>
      <c r="B105" s="29"/>
      <c r="D105" s="29"/>
      <c r="E105" s="29"/>
      <c r="F105" s="29"/>
      <c r="G105" s="27"/>
      <c r="H105" s="27"/>
      <c r="I105" s="27"/>
      <c r="J105" s="27"/>
      <c r="K105" s="27"/>
      <c r="L105" s="27"/>
      <c r="M105" s="27"/>
      <c r="N105" s="27"/>
      <c r="O105" s="27"/>
      <c r="P105" s="27"/>
      <c r="Q105" s="27"/>
      <c r="R105" s="27"/>
      <c r="S105" s="27"/>
    </row>
    <row r="106" spans="1:19">
      <c r="A106" s="103"/>
      <c r="B106" s="29"/>
      <c r="D106" s="29"/>
      <c r="E106" s="29"/>
      <c r="F106" s="29"/>
      <c r="G106" s="27"/>
      <c r="H106" s="27"/>
      <c r="I106" s="27"/>
      <c r="J106" s="27"/>
      <c r="K106" s="27"/>
      <c r="L106" s="27"/>
      <c r="M106" s="27"/>
      <c r="N106" s="27"/>
      <c r="O106" s="27"/>
      <c r="P106" s="27"/>
      <c r="Q106" s="27"/>
      <c r="R106" s="27"/>
      <c r="S106" s="27"/>
    </row>
    <row r="107" spans="1:19">
      <c r="A107" s="103"/>
      <c r="B107" s="29"/>
      <c r="D107" s="29"/>
      <c r="E107" s="29"/>
      <c r="F107" s="29"/>
      <c r="G107" s="27"/>
      <c r="H107" s="27"/>
      <c r="I107" s="27"/>
      <c r="J107" s="27"/>
      <c r="K107" s="27"/>
      <c r="L107" s="27"/>
      <c r="M107" s="27"/>
      <c r="N107" s="27"/>
      <c r="O107" s="27"/>
      <c r="P107" s="27"/>
      <c r="Q107" s="27"/>
      <c r="R107" s="27"/>
      <c r="S107" s="27"/>
    </row>
    <row r="108" spans="1:19">
      <c r="A108" s="103"/>
      <c r="B108" s="29"/>
      <c r="D108" s="29"/>
      <c r="E108" s="29"/>
      <c r="F108" s="29"/>
      <c r="G108" s="27"/>
      <c r="H108" s="27"/>
      <c r="I108" s="27"/>
      <c r="J108" s="27"/>
      <c r="K108" s="27"/>
      <c r="L108" s="27"/>
      <c r="M108" s="27"/>
      <c r="N108" s="27"/>
      <c r="O108" s="27"/>
      <c r="P108" s="27"/>
      <c r="Q108" s="27"/>
      <c r="R108" s="27"/>
      <c r="S108" s="27"/>
    </row>
    <row r="109" spans="1:19">
      <c r="A109" s="103"/>
      <c r="B109" s="29"/>
      <c r="D109" s="29"/>
      <c r="E109" s="29"/>
      <c r="F109" s="29"/>
      <c r="G109" s="27"/>
      <c r="H109" s="27"/>
      <c r="I109" s="27"/>
      <c r="J109" s="27"/>
      <c r="K109" s="27"/>
      <c r="L109" s="27"/>
      <c r="M109" s="27"/>
      <c r="N109" s="27"/>
      <c r="O109" s="27"/>
      <c r="P109" s="27"/>
      <c r="Q109" s="27"/>
      <c r="R109" s="27"/>
      <c r="S109" s="27"/>
    </row>
    <row r="110" spans="1:19">
      <c r="A110" s="103"/>
      <c r="B110" s="29"/>
      <c r="D110" s="29"/>
      <c r="E110" s="29"/>
      <c r="F110" s="29"/>
      <c r="G110" s="27"/>
      <c r="H110" s="27"/>
      <c r="I110" s="27"/>
      <c r="J110" s="27"/>
      <c r="K110" s="27"/>
      <c r="L110" s="27"/>
      <c r="M110" s="27"/>
      <c r="N110" s="27"/>
      <c r="O110" s="27"/>
      <c r="P110" s="27"/>
      <c r="Q110" s="27"/>
      <c r="R110" s="27"/>
      <c r="S110" s="27"/>
    </row>
    <row r="111" spans="1:19">
      <c r="A111" s="103"/>
      <c r="B111" s="29"/>
      <c r="D111" s="29"/>
      <c r="E111" s="29"/>
      <c r="F111" s="29"/>
      <c r="G111" s="27"/>
      <c r="H111" s="27"/>
      <c r="I111" s="27"/>
      <c r="J111" s="27"/>
      <c r="K111" s="27"/>
      <c r="L111" s="27"/>
      <c r="M111" s="27"/>
      <c r="N111" s="27"/>
      <c r="O111" s="27"/>
      <c r="P111" s="27"/>
      <c r="Q111" s="27"/>
      <c r="R111" s="27"/>
      <c r="S111" s="27"/>
    </row>
    <row r="112" spans="1:19">
      <c r="A112" s="103"/>
      <c r="B112" s="29"/>
      <c r="D112" s="29"/>
      <c r="E112" s="29"/>
      <c r="F112" s="29"/>
      <c r="G112" s="27"/>
      <c r="H112" s="27"/>
      <c r="I112" s="27"/>
      <c r="J112" s="27"/>
      <c r="K112" s="27"/>
      <c r="L112" s="27"/>
      <c r="M112" s="27"/>
      <c r="N112" s="27"/>
      <c r="O112" s="27"/>
      <c r="P112" s="27"/>
      <c r="Q112" s="27"/>
      <c r="R112" s="27"/>
      <c r="S112" s="27"/>
    </row>
    <row r="113" spans="1:19">
      <c r="A113" s="103"/>
      <c r="B113" s="29"/>
      <c r="D113" s="29"/>
      <c r="E113" s="29"/>
      <c r="F113" s="29"/>
      <c r="G113" s="27"/>
      <c r="H113" s="27"/>
      <c r="I113" s="27"/>
      <c r="J113" s="27"/>
      <c r="K113" s="27"/>
      <c r="L113" s="27"/>
      <c r="M113" s="27"/>
      <c r="N113" s="27"/>
      <c r="O113" s="27"/>
      <c r="P113" s="27"/>
      <c r="Q113" s="27"/>
      <c r="R113" s="27"/>
      <c r="S113" s="27"/>
    </row>
    <row r="114" spans="1:19">
      <c r="A114" s="103"/>
      <c r="B114" s="29"/>
      <c r="D114" s="29"/>
      <c r="E114" s="29"/>
      <c r="F114" s="29"/>
      <c r="G114" s="27"/>
      <c r="H114" s="27"/>
      <c r="I114" s="27"/>
      <c r="J114" s="27"/>
      <c r="K114" s="27"/>
      <c r="L114" s="27"/>
      <c r="M114" s="27"/>
      <c r="N114" s="27"/>
      <c r="O114" s="27"/>
      <c r="P114" s="27"/>
      <c r="Q114" s="27"/>
      <c r="R114" s="27"/>
      <c r="S114" s="27"/>
    </row>
    <row r="115" spans="1:19">
      <c r="A115" s="103"/>
      <c r="B115" s="29"/>
      <c r="D115" s="29"/>
      <c r="E115" s="29"/>
      <c r="F115" s="29"/>
      <c r="G115" s="27"/>
      <c r="H115" s="27"/>
      <c r="I115" s="27"/>
      <c r="J115" s="27"/>
      <c r="K115" s="27"/>
      <c r="L115" s="27"/>
      <c r="M115" s="27"/>
      <c r="N115" s="27"/>
      <c r="O115" s="27"/>
      <c r="P115" s="27"/>
      <c r="Q115" s="27"/>
      <c r="R115" s="27"/>
      <c r="S115" s="27"/>
    </row>
    <row r="116" spans="1:19">
      <c r="A116" s="103"/>
      <c r="B116" s="29"/>
      <c r="D116" s="29"/>
      <c r="E116" s="29"/>
      <c r="F116" s="29"/>
      <c r="G116" s="27"/>
      <c r="H116" s="27"/>
      <c r="I116" s="27"/>
      <c r="J116" s="27"/>
      <c r="K116" s="27"/>
      <c r="L116" s="27"/>
      <c r="M116" s="27"/>
      <c r="N116" s="27"/>
      <c r="O116" s="27"/>
      <c r="P116" s="27"/>
      <c r="Q116" s="27"/>
      <c r="R116" s="27"/>
      <c r="S116" s="27"/>
    </row>
    <row r="117" spans="1:19">
      <c r="A117" s="103"/>
      <c r="B117" s="29"/>
      <c r="D117" s="29"/>
      <c r="E117" s="29"/>
      <c r="F117" s="29"/>
      <c r="G117" s="27"/>
      <c r="H117" s="27"/>
      <c r="I117" s="27"/>
      <c r="J117" s="27"/>
      <c r="K117" s="27"/>
      <c r="L117" s="27"/>
      <c r="M117" s="27"/>
      <c r="N117" s="27"/>
      <c r="O117" s="27"/>
      <c r="P117" s="27"/>
      <c r="Q117" s="27"/>
      <c r="R117" s="27"/>
      <c r="S117" s="27"/>
    </row>
    <row r="118" spans="1:19">
      <c r="A118" s="103"/>
      <c r="B118" s="29"/>
      <c r="D118" s="29"/>
      <c r="E118" s="29"/>
      <c r="F118" s="29"/>
      <c r="G118" s="27"/>
      <c r="H118" s="27"/>
      <c r="I118" s="27"/>
      <c r="J118" s="27"/>
      <c r="K118" s="27"/>
      <c r="L118" s="27"/>
      <c r="M118" s="27"/>
      <c r="N118" s="27"/>
      <c r="O118" s="27"/>
      <c r="P118" s="27"/>
      <c r="Q118" s="27"/>
      <c r="R118" s="27"/>
      <c r="S118" s="27"/>
    </row>
    <row r="119" spans="1:19">
      <c r="A119" s="103"/>
      <c r="B119" s="29"/>
      <c r="D119" s="29"/>
      <c r="E119" s="29"/>
      <c r="F119" s="29"/>
      <c r="G119" s="27"/>
      <c r="H119" s="27"/>
      <c r="I119" s="27"/>
      <c r="J119" s="27"/>
      <c r="K119" s="27"/>
      <c r="L119" s="27"/>
      <c r="M119" s="27"/>
      <c r="N119" s="27"/>
      <c r="O119" s="27"/>
      <c r="P119" s="27"/>
      <c r="Q119" s="27"/>
      <c r="R119" s="27"/>
      <c r="S119" s="27"/>
    </row>
    <row r="120" spans="1:19">
      <c r="A120" s="103"/>
      <c r="B120" s="29"/>
      <c r="D120" s="29"/>
      <c r="E120" s="29"/>
      <c r="F120" s="29"/>
      <c r="G120" s="27"/>
      <c r="H120" s="27"/>
      <c r="I120" s="27"/>
      <c r="J120" s="27"/>
      <c r="K120" s="27"/>
      <c r="L120" s="27"/>
      <c r="M120" s="27"/>
      <c r="N120" s="27"/>
      <c r="O120" s="27"/>
      <c r="P120" s="27"/>
      <c r="Q120" s="27"/>
      <c r="R120" s="27"/>
      <c r="S120" s="27"/>
    </row>
    <row r="121" spans="1:19">
      <c r="A121" s="103"/>
      <c r="B121" s="29"/>
      <c r="D121" s="29"/>
      <c r="E121" s="29"/>
      <c r="F121" s="29"/>
      <c r="G121" s="27"/>
      <c r="H121" s="27"/>
      <c r="I121" s="27"/>
      <c r="J121" s="27"/>
      <c r="K121" s="27"/>
      <c r="L121" s="27"/>
      <c r="M121" s="27"/>
      <c r="N121" s="27"/>
      <c r="O121" s="27"/>
      <c r="P121" s="27"/>
      <c r="Q121" s="27"/>
      <c r="R121" s="27"/>
      <c r="S121" s="27"/>
    </row>
    <row r="122" spans="1:19">
      <c r="A122" s="103"/>
      <c r="B122" s="29"/>
      <c r="D122" s="29"/>
      <c r="E122" s="29"/>
      <c r="F122" s="29"/>
      <c r="G122" s="27"/>
      <c r="H122" s="27"/>
      <c r="I122" s="27"/>
      <c r="J122" s="27"/>
      <c r="K122" s="27"/>
      <c r="L122" s="27"/>
      <c r="M122" s="27"/>
      <c r="N122" s="27"/>
      <c r="O122" s="27"/>
      <c r="P122" s="27"/>
      <c r="Q122" s="27"/>
      <c r="R122" s="27"/>
      <c r="S122" s="27"/>
    </row>
    <row r="123" spans="1:19">
      <c r="A123" s="103"/>
      <c r="B123" s="29"/>
      <c r="D123" s="29"/>
      <c r="E123" s="29"/>
      <c r="F123" s="29"/>
      <c r="G123" s="27"/>
      <c r="H123" s="27"/>
      <c r="I123" s="27"/>
      <c r="J123" s="27"/>
      <c r="K123" s="27"/>
      <c r="L123" s="27"/>
      <c r="M123" s="27"/>
      <c r="N123" s="27"/>
      <c r="O123" s="27"/>
      <c r="P123" s="27"/>
      <c r="Q123" s="27"/>
      <c r="R123" s="27"/>
      <c r="S123" s="27"/>
    </row>
    <row r="124" spans="1:19">
      <c r="A124" s="103"/>
      <c r="B124" s="29"/>
      <c r="D124" s="29"/>
      <c r="E124" s="29"/>
      <c r="F124" s="29"/>
      <c r="G124" s="27"/>
      <c r="H124" s="27"/>
      <c r="I124" s="27"/>
      <c r="J124" s="27"/>
      <c r="K124" s="27"/>
      <c r="L124" s="27"/>
      <c r="M124" s="27"/>
      <c r="N124" s="27"/>
      <c r="O124" s="27"/>
      <c r="P124" s="27"/>
      <c r="Q124" s="27"/>
      <c r="R124" s="27"/>
      <c r="S124" s="27"/>
    </row>
    <row r="125" spans="1:19">
      <c r="A125" s="103"/>
      <c r="B125" s="29"/>
      <c r="D125" s="29"/>
      <c r="E125" s="29"/>
      <c r="F125" s="29"/>
      <c r="G125" s="27"/>
      <c r="H125" s="27"/>
      <c r="I125" s="27"/>
      <c r="J125" s="27"/>
      <c r="K125" s="27"/>
      <c r="L125" s="27"/>
      <c r="M125" s="27"/>
      <c r="N125" s="27"/>
      <c r="O125" s="27"/>
      <c r="P125" s="27"/>
      <c r="Q125" s="27"/>
      <c r="R125" s="27"/>
      <c r="S125" s="27"/>
    </row>
    <row r="126" spans="1:19">
      <c r="A126" s="103"/>
      <c r="B126" s="29"/>
      <c r="D126" s="29"/>
      <c r="E126" s="29"/>
      <c r="F126" s="29"/>
      <c r="G126" s="27"/>
      <c r="H126" s="27"/>
      <c r="I126" s="27"/>
      <c r="J126" s="27"/>
      <c r="K126" s="27"/>
      <c r="L126" s="27"/>
      <c r="M126" s="27"/>
      <c r="N126" s="27"/>
      <c r="O126" s="27"/>
      <c r="P126" s="27"/>
      <c r="Q126" s="27"/>
      <c r="R126" s="27"/>
      <c r="S126" s="27"/>
    </row>
    <row r="127" spans="1:19">
      <c r="A127" s="103"/>
      <c r="B127" s="29"/>
      <c r="D127" s="29"/>
      <c r="E127" s="29"/>
      <c r="F127" s="29"/>
      <c r="G127" s="27"/>
      <c r="H127" s="27"/>
      <c r="I127" s="27"/>
      <c r="J127" s="27"/>
      <c r="K127" s="27"/>
      <c r="L127" s="27"/>
      <c r="M127" s="27"/>
      <c r="N127" s="27"/>
      <c r="O127" s="27"/>
      <c r="P127" s="27"/>
      <c r="Q127" s="27"/>
      <c r="R127" s="27"/>
      <c r="S127" s="27"/>
    </row>
    <row r="128" spans="1:19">
      <c r="A128" s="103"/>
      <c r="B128" s="29"/>
      <c r="D128" s="29"/>
      <c r="E128" s="29"/>
      <c r="F128" s="29"/>
      <c r="G128" s="27"/>
      <c r="H128" s="27"/>
      <c r="I128" s="27"/>
      <c r="J128" s="27"/>
      <c r="K128" s="27"/>
      <c r="L128" s="27"/>
      <c r="M128" s="27"/>
      <c r="N128" s="27"/>
      <c r="O128" s="27"/>
      <c r="P128" s="27"/>
      <c r="Q128" s="27"/>
      <c r="R128" s="27"/>
      <c r="S128" s="27"/>
    </row>
    <row r="129" spans="1:19">
      <c r="A129" s="103"/>
      <c r="B129" s="29"/>
      <c r="D129" s="29"/>
      <c r="E129" s="29"/>
      <c r="F129" s="29"/>
      <c r="G129" s="27"/>
      <c r="H129" s="27"/>
      <c r="I129" s="27"/>
      <c r="J129" s="27"/>
      <c r="K129" s="27"/>
      <c r="L129" s="27"/>
      <c r="M129" s="27"/>
      <c r="N129" s="27"/>
      <c r="O129" s="27"/>
      <c r="P129" s="27"/>
      <c r="Q129" s="27"/>
      <c r="R129" s="27"/>
      <c r="S129" s="27"/>
    </row>
    <row r="130" spans="1:19">
      <c r="A130" s="103"/>
      <c r="B130" s="29"/>
      <c r="D130" s="29"/>
      <c r="E130" s="29"/>
      <c r="F130" s="29"/>
      <c r="G130" s="27"/>
      <c r="H130" s="27"/>
      <c r="I130" s="27"/>
      <c r="J130" s="27"/>
      <c r="K130" s="27"/>
      <c r="L130" s="27"/>
      <c r="M130" s="27"/>
      <c r="N130" s="27"/>
      <c r="O130" s="27"/>
      <c r="P130" s="27"/>
      <c r="Q130" s="27"/>
      <c r="R130" s="27"/>
      <c r="S130" s="27"/>
    </row>
    <row r="131" spans="1:19">
      <c r="A131" s="103"/>
      <c r="B131" s="29"/>
      <c r="D131" s="29"/>
      <c r="E131" s="29"/>
      <c r="F131" s="29"/>
      <c r="G131" s="27"/>
      <c r="H131" s="27"/>
      <c r="I131" s="27"/>
      <c r="J131" s="27"/>
      <c r="K131" s="27"/>
      <c r="L131" s="27"/>
      <c r="M131" s="27"/>
      <c r="N131" s="27"/>
      <c r="O131" s="27"/>
      <c r="P131" s="27"/>
      <c r="Q131" s="27"/>
      <c r="R131" s="27"/>
      <c r="S131" s="27"/>
    </row>
    <row r="132" spans="1:19">
      <c r="A132" s="103"/>
      <c r="B132" s="29"/>
      <c r="D132" s="29"/>
      <c r="E132" s="29"/>
      <c r="F132" s="29"/>
      <c r="G132" s="27"/>
      <c r="H132" s="27"/>
      <c r="I132" s="27"/>
      <c r="J132" s="27"/>
      <c r="K132" s="27"/>
      <c r="L132" s="27"/>
      <c r="M132" s="27"/>
      <c r="N132" s="27"/>
      <c r="O132" s="27"/>
      <c r="P132" s="27"/>
      <c r="Q132" s="27"/>
      <c r="R132" s="27"/>
      <c r="S132" s="27"/>
    </row>
    <row r="133" spans="1:19">
      <c r="A133" s="103"/>
      <c r="B133" s="29"/>
      <c r="D133" s="29"/>
      <c r="E133" s="29"/>
      <c r="F133" s="29"/>
      <c r="G133" s="27"/>
      <c r="H133" s="27"/>
      <c r="I133" s="27"/>
      <c r="J133" s="27"/>
      <c r="K133" s="27"/>
      <c r="L133" s="27"/>
      <c r="M133" s="27"/>
      <c r="N133" s="27"/>
      <c r="O133" s="27"/>
      <c r="P133" s="27"/>
      <c r="Q133" s="27"/>
      <c r="R133" s="27"/>
      <c r="S133" s="27"/>
    </row>
    <row r="134" spans="1:19">
      <c r="A134" s="103"/>
      <c r="B134" s="29"/>
      <c r="D134" s="29"/>
      <c r="E134" s="29"/>
      <c r="F134" s="29"/>
      <c r="G134" s="27"/>
      <c r="H134" s="27"/>
      <c r="I134" s="27"/>
      <c r="J134" s="27"/>
      <c r="K134" s="27"/>
      <c r="L134" s="27"/>
      <c r="M134" s="27"/>
      <c r="N134" s="27"/>
      <c r="O134" s="27"/>
      <c r="P134" s="27"/>
      <c r="Q134" s="27"/>
      <c r="R134" s="27"/>
      <c r="S134" s="27"/>
    </row>
    <row r="135" spans="1:19">
      <c r="A135" s="103"/>
      <c r="B135" s="29"/>
      <c r="D135" s="29"/>
      <c r="E135" s="29"/>
      <c r="F135" s="29"/>
      <c r="G135" s="27"/>
      <c r="H135" s="27"/>
      <c r="I135" s="27"/>
      <c r="J135" s="27"/>
      <c r="K135" s="27"/>
      <c r="L135" s="27"/>
      <c r="M135" s="27"/>
      <c r="N135" s="27"/>
      <c r="O135" s="27"/>
      <c r="P135" s="27"/>
      <c r="Q135" s="27"/>
      <c r="R135" s="27"/>
      <c r="S135" s="27"/>
    </row>
    <row r="136" spans="1:19">
      <c r="A136" s="103"/>
      <c r="B136" s="29"/>
      <c r="D136" s="29"/>
      <c r="E136" s="29"/>
      <c r="F136" s="29"/>
      <c r="G136" s="27"/>
      <c r="H136" s="27"/>
      <c r="I136" s="27"/>
      <c r="J136" s="27"/>
      <c r="K136" s="27"/>
      <c r="L136" s="27"/>
      <c r="M136" s="27"/>
      <c r="N136" s="27"/>
      <c r="O136" s="27"/>
      <c r="P136" s="27"/>
      <c r="Q136" s="27"/>
      <c r="R136" s="27"/>
      <c r="S136" s="27"/>
    </row>
    <row r="137" spans="1:19">
      <c r="A137" s="103"/>
      <c r="B137" s="29"/>
      <c r="D137" s="29"/>
      <c r="E137" s="29"/>
      <c r="F137" s="29"/>
      <c r="G137" s="27"/>
      <c r="H137" s="27"/>
      <c r="I137" s="27"/>
      <c r="J137" s="27"/>
      <c r="K137" s="27"/>
      <c r="L137" s="27"/>
      <c r="M137" s="27"/>
      <c r="N137" s="27"/>
      <c r="O137" s="27"/>
      <c r="P137" s="27"/>
      <c r="Q137" s="27"/>
      <c r="R137" s="27"/>
      <c r="S137" s="27"/>
    </row>
    <row r="138" spans="1:19">
      <c r="A138" s="103"/>
      <c r="B138" s="29"/>
      <c r="D138" s="29"/>
      <c r="E138" s="29"/>
      <c r="F138" s="29"/>
      <c r="G138" s="27"/>
      <c r="H138" s="27"/>
      <c r="I138" s="27"/>
      <c r="J138" s="27"/>
      <c r="K138" s="27"/>
      <c r="L138" s="27"/>
      <c r="M138" s="27"/>
      <c r="N138" s="27"/>
      <c r="O138" s="27"/>
      <c r="P138" s="27"/>
      <c r="Q138" s="27"/>
      <c r="R138" s="27"/>
      <c r="S138" s="27"/>
    </row>
    <row r="139" spans="1:19">
      <c r="A139" s="103"/>
      <c r="B139" s="29"/>
      <c r="D139" s="29"/>
      <c r="E139" s="29"/>
      <c r="F139" s="29"/>
      <c r="G139" s="27"/>
      <c r="H139" s="27"/>
      <c r="I139" s="27"/>
      <c r="J139" s="27"/>
      <c r="K139" s="27"/>
      <c r="L139" s="27"/>
      <c r="M139" s="27"/>
      <c r="N139" s="27"/>
      <c r="O139" s="27"/>
      <c r="P139" s="27"/>
      <c r="Q139" s="27"/>
      <c r="R139" s="27"/>
      <c r="S139" s="27"/>
    </row>
    <row r="140" spans="1:19">
      <c r="A140" s="103"/>
      <c r="B140" s="29"/>
      <c r="D140" s="29"/>
      <c r="E140" s="29"/>
      <c r="F140" s="29"/>
      <c r="G140" s="27"/>
      <c r="H140" s="27"/>
      <c r="I140" s="27"/>
      <c r="J140" s="27"/>
      <c r="K140" s="27"/>
      <c r="L140" s="27"/>
      <c r="M140" s="27"/>
      <c r="N140" s="27"/>
      <c r="O140" s="27"/>
      <c r="P140" s="27"/>
      <c r="Q140" s="27"/>
      <c r="R140" s="27"/>
      <c r="S140" s="27"/>
    </row>
    <row r="141" spans="1:19">
      <c r="A141" s="103"/>
      <c r="B141" s="29"/>
      <c r="D141" s="29"/>
      <c r="E141" s="29"/>
      <c r="F141" s="29"/>
      <c r="G141" s="27"/>
      <c r="H141" s="27"/>
      <c r="I141" s="27"/>
      <c r="J141" s="27"/>
      <c r="K141" s="27"/>
      <c r="L141" s="27"/>
      <c r="M141" s="27"/>
      <c r="N141" s="27"/>
      <c r="O141" s="27"/>
      <c r="P141" s="27"/>
      <c r="Q141" s="27"/>
      <c r="R141" s="27"/>
      <c r="S141" s="27"/>
    </row>
    <row r="142" spans="1:19">
      <c r="A142" s="103"/>
      <c r="B142" s="29"/>
      <c r="D142" s="29"/>
      <c r="E142" s="29"/>
      <c r="F142" s="29"/>
      <c r="G142" s="27"/>
      <c r="H142" s="27"/>
      <c r="I142" s="27"/>
      <c r="J142" s="27"/>
      <c r="K142" s="27"/>
      <c r="L142" s="27"/>
      <c r="M142" s="27"/>
      <c r="N142" s="27"/>
      <c r="O142" s="27"/>
      <c r="P142" s="27"/>
      <c r="Q142" s="27"/>
      <c r="R142" s="27"/>
      <c r="S142" s="27"/>
    </row>
    <row r="143" spans="1:19">
      <c r="A143" s="103"/>
      <c r="B143" s="29"/>
      <c r="D143" s="29"/>
      <c r="E143" s="29"/>
      <c r="F143" s="29"/>
      <c r="G143" s="27"/>
      <c r="H143" s="27"/>
      <c r="I143" s="27"/>
      <c r="J143" s="27"/>
      <c r="K143" s="27"/>
      <c r="L143" s="27"/>
      <c r="M143" s="27"/>
      <c r="N143" s="27"/>
      <c r="O143" s="27"/>
      <c r="P143" s="27"/>
      <c r="Q143" s="27"/>
      <c r="R143" s="27"/>
      <c r="S143" s="27"/>
    </row>
    <row r="144" spans="1:19">
      <c r="A144" s="103"/>
      <c r="B144" s="29"/>
      <c r="D144" s="29"/>
      <c r="E144" s="29"/>
      <c r="F144" s="29"/>
      <c r="G144" s="27"/>
      <c r="H144" s="27"/>
      <c r="I144" s="27"/>
      <c r="J144" s="27"/>
      <c r="K144" s="27"/>
      <c r="L144" s="27"/>
      <c r="M144" s="27"/>
      <c r="N144" s="27"/>
      <c r="O144" s="27"/>
      <c r="P144" s="27"/>
      <c r="Q144" s="27"/>
      <c r="R144" s="27"/>
      <c r="S144" s="27"/>
    </row>
    <row r="145" spans="1:19">
      <c r="A145" s="103"/>
      <c r="B145" s="29"/>
      <c r="D145" s="29"/>
      <c r="E145" s="29"/>
      <c r="F145" s="29"/>
      <c r="G145" s="27"/>
      <c r="H145" s="27"/>
      <c r="I145" s="27"/>
      <c r="J145" s="27"/>
      <c r="K145" s="27"/>
      <c r="L145" s="27"/>
      <c r="M145" s="27"/>
      <c r="N145" s="27"/>
      <c r="O145" s="27"/>
      <c r="P145" s="27"/>
      <c r="Q145" s="27"/>
      <c r="R145" s="27"/>
      <c r="S145" s="27"/>
    </row>
    <row r="146" spans="1:19">
      <c r="A146" s="103"/>
      <c r="B146" s="29"/>
      <c r="D146" s="29"/>
      <c r="E146" s="29"/>
      <c r="F146" s="29"/>
      <c r="G146" s="27"/>
      <c r="H146" s="27"/>
      <c r="I146" s="27"/>
      <c r="J146" s="27"/>
      <c r="K146" s="27"/>
      <c r="L146" s="27"/>
      <c r="M146" s="27"/>
      <c r="N146" s="27"/>
      <c r="O146" s="27"/>
      <c r="P146" s="27"/>
      <c r="Q146" s="27"/>
      <c r="R146" s="27"/>
      <c r="S146" s="27"/>
    </row>
    <row r="147" spans="1:19">
      <c r="A147" s="103"/>
      <c r="B147" s="29"/>
      <c r="D147" s="29"/>
      <c r="E147" s="29"/>
      <c r="F147" s="29"/>
      <c r="G147" s="27"/>
      <c r="H147" s="27"/>
      <c r="I147" s="27"/>
      <c r="J147" s="27"/>
      <c r="K147" s="27"/>
      <c r="L147" s="27"/>
      <c r="M147" s="27"/>
      <c r="N147" s="27"/>
      <c r="O147" s="27"/>
      <c r="P147" s="27"/>
      <c r="Q147" s="27"/>
      <c r="R147" s="27"/>
      <c r="S147" s="27"/>
    </row>
    <row r="148" spans="1:19">
      <c r="A148" s="103"/>
      <c r="B148" s="29"/>
      <c r="D148" s="29"/>
      <c r="E148" s="29"/>
      <c r="F148" s="29"/>
      <c r="G148" s="27"/>
      <c r="H148" s="27"/>
      <c r="I148" s="27"/>
      <c r="J148" s="27"/>
      <c r="K148" s="27"/>
      <c r="L148" s="27"/>
      <c r="M148" s="27"/>
      <c r="N148" s="27"/>
      <c r="O148" s="27"/>
      <c r="P148" s="27"/>
      <c r="Q148" s="27"/>
      <c r="R148" s="27"/>
      <c r="S148" s="27"/>
    </row>
    <row r="149" spans="1:19">
      <c r="A149" s="103"/>
      <c r="B149" s="29"/>
      <c r="D149" s="29"/>
      <c r="E149" s="29"/>
      <c r="F149" s="29"/>
      <c r="G149" s="27"/>
      <c r="H149" s="27"/>
      <c r="I149" s="27"/>
      <c r="J149" s="27"/>
      <c r="K149" s="27"/>
      <c r="L149" s="27"/>
      <c r="M149" s="27"/>
      <c r="N149" s="27"/>
      <c r="O149" s="27"/>
      <c r="P149" s="27"/>
      <c r="Q149" s="27"/>
      <c r="R149" s="27"/>
      <c r="S149" s="27"/>
    </row>
    <row r="150" spans="1:19">
      <c r="A150" s="103"/>
      <c r="B150" s="29"/>
      <c r="D150" s="29"/>
      <c r="E150" s="29"/>
      <c r="F150" s="29"/>
      <c r="G150" s="27"/>
      <c r="H150" s="27"/>
      <c r="I150" s="27"/>
      <c r="J150" s="27"/>
      <c r="K150" s="27"/>
      <c r="L150" s="27"/>
      <c r="M150" s="27"/>
      <c r="N150" s="27"/>
      <c r="O150" s="27"/>
      <c r="P150" s="27"/>
      <c r="Q150" s="27"/>
      <c r="R150" s="27"/>
      <c r="S150" s="27"/>
    </row>
    <row r="151" spans="1:19">
      <c r="A151" s="103"/>
      <c r="B151" s="29"/>
      <c r="D151" s="29"/>
      <c r="E151" s="29"/>
      <c r="F151" s="29"/>
      <c r="G151" s="27"/>
      <c r="H151" s="27"/>
      <c r="I151" s="27"/>
      <c r="J151" s="27"/>
      <c r="K151" s="27"/>
      <c r="L151" s="27"/>
      <c r="M151" s="27"/>
      <c r="N151" s="27"/>
      <c r="O151" s="27"/>
      <c r="P151" s="27"/>
      <c r="Q151" s="27"/>
      <c r="R151" s="27"/>
      <c r="S151" s="27"/>
    </row>
    <row r="152" spans="1:19">
      <c r="A152" s="103"/>
      <c r="B152" s="29"/>
      <c r="D152" s="29"/>
      <c r="E152" s="29"/>
      <c r="F152" s="29"/>
      <c r="G152" s="27"/>
      <c r="H152" s="27"/>
      <c r="I152" s="27"/>
      <c r="J152" s="27"/>
      <c r="K152" s="27"/>
      <c r="L152" s="27"/>
      <c r="M152" s="27"/>
      <c r="N152" s="27"/>
      <c r="O152" s="27"/>
      <c r="P152" s="27"/>
      <c r="Q152" s="27"/>
      <c r="R152" s="27"/>
      <c r="S152" s="27"/>
    </row>
    <row r="153" spans="1:19">
      <c r="A153" s="103"/>
      <c r="B153" s="29"/>
      <c r="D153" s="29"/>
      <c r="E153" s="29"/>
      <c r="F153" s="29"/>
      <c r="G153" s="27"/>
      <c r="H153" s="27"/>
      <c r="I153" s="27"/>
      <c r="J153" s="27"/>
      <c r="K153" s="27"/>
      <c r="L153" s="27"/>
      <c r="M153" s="27"/>
      <c r="N153" s="27"/>
      <c r="O153" s="27"/>
      <c r="P153" s="27"/>
      <c r="Q153" s="27"/>
      <c r="R153" s="27"/>
      <c r="S153" s="27"/>
    </row>
    <row r="154" spans="1:19">
      <c r="A154" s="103"/>
      <c r="B154" s="29"/>
      <c r="D154" s="29"/>
      <c r="E154" s="29"/>
      <c r="F154" s="29"/>
      <c r="G154" s="27"/>
      <c r="H154" s="27"/>
      <c r="I154" s="27"/>
      <c r="J154" s="27"/>
      <c r="K154" s="27"/>
      <c r="L154" s="27"/>
      <c r="M154" s="27"/>
      <c r="N154" s="27"/>
      <c r="O154" s="27"/>
      <c r="P154" s="27"/>
      <c r="Q154" s="27"/>
      <c r="R154" s="27"/>
      <c r="S154" s="27"/>
    </row>
    <row r="155" spans="1:19">
      <c r="A155" s="103"/>
      <c r="B155" s="29"/>
      <c r="D155" s="29"/>
      <c r="E155" s="29"/>
      <c r="F155" s="29"/>
      <c r="G155" s="27"/>
      <c r="H155" s="27"/>
      <c r="I155" s="27"/>
      <c r="J155" s="27"/>
      <c r="K155" s="27"/>
      <c r="L155" s="27"/>
      <c r="M155" s="27"/>
      <c r="N155" s="27"/>
      <c r="O155" s="27"/>
      <c r="P155" s="27"/>
      <c r="Q155" s="27"/>
      <c r="R155" s="27"/>
      <c r="S155" s="27"/>
    </row>
    <row r="156" spans="1:19">
      <c r="A156" s="103"/>
      <c r="B156" s="29"/>
      <c r="D156" s="29"/>
      <c r="E156" s="29"/>
      <c r="F156" s="29"/>
      <c r="G156" s="27"/>
      <c r="H156" s="27"/>
      <c r="I156" s="27"/>
      <c r="J156" s="27"/>
      <c r="K156" s="27"/>
      <c r="L156" s="27"/>
      <c r="M156" s="27"/>
      <c r="N156" s="27"/>
      <c r="O156" s="27"/>
      <c r="P156" s="27"/>
      <c r="Q156" s="27"/>
      <c r="R156" s="27"/>
      <c r="S156" s="27"/>
    </row>
    <row r="157" spans="1:19">
      <c r="A157" s="103"/>
      <c r="B157" s="29"/>
      <c r="D157" s="29"/>
      <c r="E157" s="29"/>
      <c r="F157" s="29"/>
      <c r="G157" s="27"/>
      <c r="H157" s="27"/>
      <c r="I157" s="27"/>
      <c r="J157" s="27"/>
      <c r="K157" s="27"/>
      <c r="L157" s="27"/>
      <c r="M157" s="27"/>
      <c r="N157" s="27"/>
      <c r="O157" s="27"/>
      <c r="P157" s="27"/>
      <c r="Q157" s="27"/>
      <c r="R157" s="27"/>
      <c r="S157" s="27"/>
    </row>
    <row r="158" spans="1:19">
      <c r="A158" s="103"/>
      <c r="B158" s="29"/>
      <c r="D158" s="29"/>
      <c r="E158" s="29"/>
      <c r="F158" s="29"/>
      <c r="G158" s="38"/>
      <c r="I158" s="32"/>
      <c r="J158" s="38"/>
      <c r="M158" s="27"/>
      <c r="N158" s="27"/>
      <c r="O158" s="27"/>
      <c r="P158" s="27"/>
      <c r="Q158" s="27"/>
      <c r="R158" s="27"/>
      <c r="S158" s="27"/>
    </row>
    <row r="159" spans="1:19">
      <c r="A159" s="103"/>
      <c r="B159" s="29"/>
      <c r="D159" s="29"/>
      <c r="E159" s="29"/>
      <c r="F159" s="29"/>
      <c r="G159" s="38"/>
      <c r="M159" s="27"/>
      <c r="N159" s="27"/>
      <c r="O159" s="27"/>
      <c r="P159" s="27"/>
      <c r="Q159" s="27"/>
      <c r="R159" s="27"/>
      <c r="S159" s="27"/>
    </row>
    <row r="160" spans="1:19">
      <c r="A160" s="103"/>
      <c r="B160" s="29"/>
      <c r="D160" s="29"/>
      <c r="E160" s="29"/>
      <c r="F160" s="29"/>
      <c r="G160" s="38"/>
      <c r="M160" s="27"/>
      <c r="N160" s="27"/>
      <c r="O160" s="27"/>
      <c r="P160" s="27"/>
      <c r="Q160" s="27"/>
      <c r="R160" s="27"/>
      <c r="S160" s="27"/>
    </row>
    <row r="161" spans="1:19">
      <c r="A161" s="103"/>
      <c r="B161" s="29"/>
      <c r="D161" s="29"/>
      <c r="E161" s="29"/>
      <c r="F161" s="29"/>
      <c r="G161" s="38"/>
      <c r="M161" s="27"/>
      <c r="N161" s="27"/>
      <c r="O161" s="27"/>
      <c r="P161" s="27"/>
      <c r="Q161" s="27"/>
      <c r="R161" s="27"/>
      <c r="S161" s="38"/>
    </row>
    <row r="162" spans="1:19">
      <c r="A162" s="103"/>
      <c r="B162" s="29"/>
      <c r="D162" s="29"/>
      <c r="E162" s="29"/>
      <c r="F162" s="29"/>
      <c r="G162" s="38"/>
      <c r="M162" s="27"/>
      <c r="N162" s="27"/>
      <c r="O162" s="27"/>
      <c r="P162" s="27"/>
      <c r="Q162" s="27"/>
      <c r="R162" s="27"/>
      <c r="S162" s="38"/>
    </row>
    <row r="163" spans="1:19">
      <c r="A163" s="103"/>
      <c r="B163" s="29"/>
      <c r="D163" s="29"/>
      <c r="E163" s="29"/>
      <c r="F163" s="29"/>
      <c r="G163" s="38"/>
      <c r="M163" s="27"/>
      <c r="N163" s="27"/>
      <c r="O163" s="27"/>
      <c r="P163" s="27"/>
      <c r="Q163" s="27"/>
      <c r="R163" s="27"/>
      <c r="S163" s="38"/>
    </row>
    <row r="164" spans="1:19">
      <c r="A164" s="103"/>
      <c r="B164" s="29"/>
      <c r="D164" s="29"/>
      <c r="E164" s="29"/>
      <c r="F164" s="29"/>
      <c r="G164" s="38"/>
      <c r="M164" s="27"/>
      <c r="N164" s="27"/>
      <c r="O164" s="27"/>
      <c r="P164" s="27"/>
      <c r="Q164" s="27"/>
      <c r="R164" s="27"/>
      <c r="S164" s="38"/>
    </row>
    <row r="165" spans="1:19">
      <c r="A165" s="103"/>
      <c r="B165" s="29"/>
      <c r="D165" s="29"/>
      <c r="E165" s="29"/>
      <c r="F165" s="29"/>
      <c r="G165" s="38"/>
      <c r="M165" s="27"/>
      <c r="N165" s="27"/>
      <c r="O165" s="27"/>
      <c r="P165" s="27"/>
      <c r="Q165" s="27"/>
      <c r="R165" s="27"/>
      <c r="S165" s="38"/>
    </row>
    <row r="166" spans="1:19">
      <c r="A166" s="103"/>
      <c r="B166" s="29"/>
      <c r="D166" s="29"/>
      <c r="E166" s="29"/>
      <c r="F166" s="29"/>
      <c r="G166" s="38"/>
      <c r="M166" s="27"/>
      <c r="N166" s="27"/>
      <c r="O166" s="27"/>
      <c r="P166" s="27"/>
      <c r="Q166" s="27"/>
      <c r="R166" s="27"/>
      <c r="S166" s="38"/>
    </row>
    <row r="167" spans="1:19">
      <c r="A167" s="103"/>
      <c r="B167" s="29"/>
      <c r="D167" s="29"/>
      <c r="E167" s="29"/>
      <c r="F167" s="29"/>
      <c r="G167" s="38"/>
      <c r="M167" s="27"/>
      <c r="N167" s="27"/>
      <c r="O167" s="27"/>
      <c r="P167" s="27"/>
      <c r="Q167" s="27"/>
      <c r="R167" s="27"/>
      <c r="S167" s="38"/>
    </row>
    <row r="168" spans="1:19">
      <c r="A168" s="103"/>
      <c r="B168" s="29"/>
      <c r="D168" s="29"/>
      <c r="E168" s="29"/>
      <c r="F168" s="29"/>
      <c r="G168" s="38"/>
      <c r="M168" s="27"/>
      <c r="N168" s="27"/>
      <c r="O168" s="27"/>
      <c r="P168" s="27"/>
      <c r="Q168" s="27"/>
      <c r="R168" s="27"/>
      <c r="S168" s="38"/>
    </row>
    <row r="169" spans="1:19">
      <c r="A169" s="103"/>
      <c r="B169" s="29"/>
      <c r="D169" s="29"/>
      <c r="E169" s="29"/>
      <c r="F169" s="29"/>
      <c r="G169" s="38"/>
      <c r="M169" s="27"/>
      <c r="N169" s="27"/>
      <c r="O169" s="27"/>
      <c r="P169" s="27"/>
      <c r="Q169" s="27"/>
      <c r="R169" s="27"/>
      <c r="S169" s="38"/>
    </row>
    <row r="170" spans="1:19">
      <c r="A170" s="103"/>
      <c r="B170" s="29"/>
      <c r="D170" s="29"/>
      <c r="E170" s="29"/>
      <c r="F170" s="29"/>
      <c r="G170" s="38"/>
      <c r="M170" s="27"/>
      <c r="N170" s="27"/>
      <c r="O170" s="27"/>
      <c r="P170" s="27"/>
      <c r="Q170" s="27"/>
      <c r="R170" s="27"/>
      <c r="S170" s="38"/>
    </row>
    <row r="171" spans="1:19">
      <c r="A171" s="103"/>
      <c r="B171" s="29"/>
      <c r="D171" s="29"/>
      <c r="E171" s="29"/>
      <c r="F171" s="29"/>
      <c r="G171" s="38"/>
      <c r="M171" s="27"/>
      <c r="N171" s="27"/>
      <c r="O171" s="27"/>
      <c r="P171" s="27"/>
      <c r="Q171" s="27"/>
      <c r="R171" s="27"/>
      <c r="S171" s="38"/>
    </row>
    <row r="172" spans="1:19">
      <c r="A172" s="103"/>
      <c r="B172" s="29"/>
      <c r="D172" s="29"/>
      <c r="E172" s="29"/>
      <c r="F172" s="29"/>
      <c r="G172" s="38"/>
      <c r="M172" s="27"/>
      <c r="N172" s="27"/>
      <c r="O172" s="27"/>
      <c r="P172" s="27"/>
      <c r="Q172" s="27"/>
      <c r="R172" s="27"/>
      <c r="S172" s="38"/>
    </row>
    <row r="173" spans="1:19">
      <c r="A173" s="103"/>
      <c r="B173" s="29"/>
      <c r="D173" s="29"/>
      <c r="E173" s="29"/>
      <c r="F173" s="29"/>
      <c r="G173" s="38"/>
      <c r="M173" s="27"/>
      <c r="N173" s="27"/>
      <c r="O173" s="27"/>
      <c r="P173" s="27"/>
      <c r="Q173" s="27"/>
      <c r="R173" s="27"/>
      <c r="S173" s="38"/>
    </row>
    <row r="174" spans="1:19">
      <c r="A174" s="103"/>
      <c r="B174" s="29"/>
      <c r="D174" s="29"/>
      <c r="E174" s="29"/>
      <c r="F174" s="29"/>
      <c r="G174" s="38"/>
      <c r="P174" s="27"/>
      <c r="Q174" s="27"/>
      <c r="R174" s="27"/>
      <c r="S174" s="38"/>
    </row>
    <row r="175" spans="1:19">
      <c r="A175" s="103"/>
      <c r="B175" s="29"/>
      <c r="D175" s="29"/>
      <c r="E175" s="29"/>
      <c r="F175" s="29"/>
      <c r="G175" s="38"/>
      <c r="P175" s="27"/>
      <c r="Q175" s="27"/>
      <c r="R175" s="27"/>
      <c r="S175" s="38"/>
    </row>
    <row r="176" spans="1:19">
      <c r="A176" s="103"/>
      <c r="B176" s="29"/>
      <c r="D176" s="29"/>
      <c r="E176" s="29"/>
      <c r="F176" s="29"/>
      <c r="G176" s="38"/>
      <c r="P176" s="27"/>
      <c r="Q176" s="27"/>
      <c r="R176" s="27"/>
      <c r="S176" s="38"/>
    </row>
    <row r="177" spans="1:19">
      <c r="A177" s="103"/>
      <c r="B177" s="29"/>
      <c r="D177" s="29"/>
      <c r="E177" s="29"/>
      <c r="F177" s="29"/>
      <c r="G177" s="38"/>
      <c r="P177" s="27"/>
      <c r="Q177" s="27"/>
      <c r="R177" s="27"/>
      <c r="S177" s="38"/>
    </row>
    <row r="178" spans="1:19">
      <c r="A178" s="103"/>
      <c r="B178" s="29"/>
      <c r="D178" s="29"/>
      <c r="E178" s="29"/>
      <c r="F178" s="29"/>
      <c r="G178" s="38"/>
      <c r="P178" s="27"/>
      <c r="Q178" s="27"/>
      <c r="R178" s="27"/>
      <c r="S178" s="38"/>
    </row>
    <row r="179" spans="1:19">
      <c r="A179" s="103"/>
      <c r="B179" s="29"/>
      <c r="D179" s="29"/>
      <c r="E179" s="29"/>
      <c r="F179" s="29"/>
      <c r="G179" s="38"/>
      <c r="P179" s="27"/>
      <c r="Q179" s="27"/>
      <c r="R179" s="27"/>
      <c r="S179" s="38"/>
    </row>
    <row r="180" spans="1:19">
      <c r="A180" s="103"/>
      <c r="B180" s="29"/>
      <c r="D180" s="29"/>
      <c r="E180" s="29"/>
      <c r="F180" s="29"/>
      <c r="G180" s="38"/>
      <c r="P180" s="27"/>
      <c r="Q180" s="27"/>
      <c r="R180" s="27"/>
      <c r="S180" s="38"/>
    </row>
    <row r="181" spans="1:19">
      <c r="A181" s="103"/>
      <c r="B181" s="29"/>
      <c r="D181" s="29"/>
      <c r="E181" s="29"/>
      <c r="F181" s="29"/>
      <c r="G181" s="38"/>
      <c r="P181" s="27"/>
      <c r="Q181" s="27"/>
      <c r="R181" s="27"/>
      <c r="S181" s="38"/>
    </row>
    <row r="182" spans="1:19">
      <c r="A182" s="103"/>
      <c r="B182" s="29"/>
      <c r="D182" s="29"/>
      <c r="E182" s="29"/>
      <c r="F182" s="29"/>
      <c r="G182" s="38"/>
      <c r="P182" s="27"/>
      <c r="Q182" s="27"/>
      <c r="R182" s="27"/>
      <c r="S182" s="38"/>
    </row>
    <row r="183" spans="1:19">
      <c r="A183" s="103"/>
      <c r="B183" s="29"/>
      <c r="D183" s="29"/>
      <c r="E183" s="29"/>
      <c r="F183" s="29"/>
      <c r="G183" s="38"/>
      <c r="P183" s="27"/>
      <c r="Q183" s="27"/>
      <c r="R183" s="27"/>
      <c r="S183" s="38"/>
    </row>
    <row r="184" spans="1:19">
      <c r="A184" s="103"/>
      <c r="B184" s="29"/>
      <c r="D184" s="29"/>
      <c r="E184" s="29"/>
      <c r="F184" s="29"/>
      <c r="G184" s="38"/>
      <c r="P184" s="27"/>
      <c r="Q184" s="27"/>
      <c r="R184" s="27"/>
      <c r="S184" s="38"/>
    </row>
    <row r="185" spans="1:19">
      <c r="A185" s="103"/>
      <c r="B185" s="29"/>
      <c r="D185" s="29"/>
      <c r="E185" s="29"/>
      <c r="F185" s="29"/>
      <c r="G185" s="38"/>
      <c r="P185" s="27"/>
      <c r="Q185" s="27"/>
      <c r="R185" s="27"/>
      <c r="S185" s="38"/>
    </row>
    <row r="186" spans="1:19">
      <c r="A186" s="103"/>
      <c r="B186" s="29"/>
      <c r="D186" s="29"/>
      <c r="E186" s="29"/>
      <c r="F186" s="29"/>
      <c r="G186" s="38"/>
      <c r="P186" s="27"/>
      <c r="Q186" s="27"/>
      <c r="R186" s="27"/>
      <c r="S186" s="38"/>
    </row>
    <row r="187" spans="1:19">
      <c r="D187" s="29"/>
      <c r="E187" s="29"/>
      <c r="F187" s="29"/>
      <c r="G187" s="38"/>
      <c r="P187" s="27"/>
      <c r="Q187" s="27"/>
      <c r="R187" s="27"/>
      <c r="S187" s="38"/>
    </row>
    <row r="188" spans="1:19">
      <c r="D188" s="29"/>
      <c r="E188" s="29"/>
      <c r="F188" s="29"/>
      <c r="G188" s="38"/>
      <c r="P188" s="27"/>
      <c r="Q188" s="27"/>
      <c r="R188" s="27"/>
      <c r="S188" s="38"/>
    </row>
    <row r="189" spans="1:19">
      <c r="D189" s="29"/>
      <c r="E189" s="29"/>
      <c r="F189" s="29"/>
      <c r="G189" s="38"/>
      <c r="P189" s="27"/>
      <c r="Q189" s="27"/>
      <c r="R189" s="27"/>
      <c r="S189" s="38"/>
    </row>
    <row r="190" spans="1:19">
      <c r="D190" s="29"/>
      <c r="E190" s="29"/>
      <c r="F190" s="29"/>
      <c r="G190" s="38"/>
      <c r="P190" s="27"/>
      <c r="Q190" s="27"/>
      <c r="R190" s="27"/>
      <c r="S190" s="38"/>
    </row>
    <row r="191" spans="1:19">
      <c r="D191" s="29"/>
      <c r="E191" s="29"/>
      <c r="F191" s="29"/>
      <c r="G191" s="38"/>
      <c r="P191" s="27"/>
      <c r="Q191" s="27"/>
      <c r="R191" s="27"/>
      <c r="S191" s="38"/>
    </row>
    <row r="192" spans="1:19">
      <c r="D192" s="29"/>
      <c r="E192" s="29"/>
      <c r="F192" s="29"/>
      <c r="G192" s="38"/>
      <c r="P192" s="27"/>
      <c r="Q192" s="27"/>
      <c r="R192" s="27"/>
      <c r="S192" s="38"/>
    </row>
    <row r="193" spans="4:19">
      <c r="D193" s="29"/>
      <c r="E193" s="29"/>
      <c r="F193" s="29"/>
      <c r="G193" s="38"/>
      <c r="P193" s="27"/>
      <c r="Q193" s="27"/>
      <c r="R193" s="27"/>
      <c r="S193" s="38"/>
    </row>
    <row r="194" spans="4:19">
      <c r="D194" s="29"/>
      <c r="E194" s="29"/>
      <c r="F194" s="29"/>
      <c r="G194" s="38"/>
      <c r="P194" s="27"/>
      <c r="Q194" s="27"/>
      <c r="R194" s="27"/>
      <c r="S194" s="38"/>
    </row>
    <row r="195" spans="4:19">
      <c r="D195" s="29"/>
      <c r="E195" s="29"/>
      <c r="F195" s="29"/>
      <c r="G195" s="38"/>
      <c r="P195" s="27"/>
      <c r="Q195" s="27"/>
      <c r="R195" s="27"/>
      <c r="S195" s="38"/>
    </row>
    <row r="196" spans="4:19">
      <c r="D196" s="29"/>
      <c r="E196" s="29"/>
      <c r="F196" s="29"/>
      <c r="G196" s="38"/>
      <c r="P196" s="27"/>
      <c r="Q196" s="27"/>
      <c r="R196" s="27"/>
      <c r="S196" s="38"/>
    </row>
    <row r="197" spans="4:19">
      <c r="D197" s="29"/>
      <c r="E197" s="29"/>
      <c r="F197" s="29"/>
      <c r="G197" s="38"/>
      <c r="P197" s="27"/>
      <c r="Q197" s="27"/>
      <c r="R197" s="27"/>
      <c r="S197" s="38"/>
    </row>
    <row r="198" spans="4:19">
      <c r="D198" s="29"/>
      <c r="E198" s="29"/>
      <c r="F198" s="29"/>
      <c r="G198" s="38"/>
      <c r="P198" s="27"/>
      <c r="Q198" s="27"/>
      <c r="R198" s="27"/>
      <c r="S198" s="38"/>
    </row>
    <row r="199" spans="4:19">
      <c r="D199" s="29"/>
      <c r="E199" s="29"/>
      <c r="F199" s="29"/>
      <c r="G199" s="38"/>
      <c r="P199" s="27"/>
      <c r="Q199" s="27"/>
      <c r="R199" s="27"/>
      <c r="S199" s="38"/>
    </row>
    <row r="200" spans="4:19">
      <c r="D200" s="29"/>
      <c r="E200" s="29"/>
      <c r="F200" s="29"/>
      <c r="G200" s="38"/>
      <c r="P200" s="27"/>
      <c r="Q200" s="27"/>
      <c r="R200" s="27"/>
      <c r="S200" s="38"/>
    </row>
    <row r="201" spans="4:19">
      <c r="D201" s="29"/>
      <c r="E201" s="29"/>
      <c r="F201" s="29"/>
      <c r="G201" s="38"/>
      <c r="P201" s="27"/>
      <c r="Q201" s="27"/>
      <c r="R201" s="27"/>
      <c r="S201" s="38"/>
    </row>
    <row r="202" spans="4:19">
      <c r="D202" s="29"/>
      <c r="E202" s="29"/>
      <c r="F202" s="29"/>
      <c r="G202" s="38"/>
      <c r="P202" s="27"/>
      <c r="Q202" s="27"/>
      <c r="R202" s="27"/>
      <c r="S202" s="38"/>
    </row>
    <row r="203" spans="4:19">
      <c r="D203" s="29"/>
      <c r="E203" s="29"/>
      <c r="F203" s="29"/>
      <c r="G203" s="38"/>
      <c r="P203" s="27"/>
      <c r="Q203" s="27"/>
      <c r="R203" s="27"/>
      <c r="S203" s="38"/>
    </row>
    <row r="204" spans="4:19">
      <c r="D204" s="29"/>
      <c r="E204" s="29"/>
      <c r="F204" s="29"/>
      <c r="G204" s="38"/>
      <c r="P204" s="27"/>
      <c r="Q204" s="27"/>
      <c r="R204" s="27"/>
      <c r="S204" s="38"/>
    </row>
    <row r="205" spans="4:19">
      <c r="D205" s="29"/>
      <c r="E205" s="29"/>
      <c r="F205" s="29"/>
      <c r="G205" s="38"/>
      <c r="Q205" s="27"/>
      <c r="R205" s="27"/>
      <c r="S205" s="38"/>
    </row>
    <row r="206" spans="4:19">
      <c r="D206" s="29"/>
      <c r="E206" s="29"/>
      <c r="F206" s="29"/>
      <c r="G206" s="38"/>
      <c r="Q206" s="27"/>
      <c r="R206" s="27"/>
      <c r="S206" s="38"/>
    </row>
    <row r="207" spans="4:19">
      <c r="D207" s="29"/>
      <c r="E207" s="29"/>
      <c r="F207" s="29"/>
      <c r="G207" s="38"/>
      <c r="Q207" s="27"/>
      <c r="R207" s="27"/>
      <c r="S207" s="38"/>
    </row>
    <row r="208" spans="4:19">
      <c r="D208" s="29"/>
      <c r="E208" s="29"/>
      <c r="F208" s="29"/>
      <c r="G208" s="38"/>
      <c r="Q208" s="27"/>
      <c r="R208" s="27"/>
      <c r="S208" s="38"/>
    </row>
    <row r="209" spans="4:19">
      <c r="D209" s="29"/>
      <c r="E209" s="29"/>
      <c r="F209" s="29"/>
      <c r="G209" s="38"/>
      <c r="Q209" s="27"/>
      <c r="R209" s="27"/>
      <c r="S209" s="38"/>
    </row>
    <row r="210" spans="4:19">
      <c r="D210" s="29"/>
      <c r="E210" s="29"/>
      <c r="F210" s="29"/>
      <c r="G210" s="38"/>
      <c r="Q210" s="27"/>
      <c r="R210" s="27"/>
      <c r="S210" s="38"/>
    </row>
    <row r="211" spans="4:19">
      <c r="D211" s="29"/>
      <c r="E211" s="29"/>
      <c r="F211" s="29"/>
      <c r="G211" s="38"/>
      <c r="Q211" s="27"/>
      <c r="R211" s="27"/>
      <c r="S211" s="38"/>
    </row>
    <row r="212" spans="4:19">
      <c r="D212" s="29"/>
      <c r="E212" s="29"/>
      <c r="F212" s="29"/>
      <c r="G212" s="38"/>
      <c r="Q212" s="27"/>
      <c r="R212" s="27"/>
      <c r="S212" s="38"/>
    </row>
    <row r="213" spans="4:19">
      <c r="D213" s="29"/>
      <c r="E213" s="29"/>
      <c r="F213" s="29"/>
      <c r="G213" s="38"/>
      <c r="Q213" s="27"/>
      <c r="R213" s="27"/>
      <c r="S213" s="38"/>
    </row>
    <row r="214" spans="4:19">
      <c r="D214" s="29"/>
      <c r="E214" s="29"/>
      <c r="F214" s="29"/>
      <c r="G214" s="38"/>
    </row>
    <row r="215" spans="4:19">
      <c r="D215" s="29"/>
      <c r="E215" s="29"/>
      <c r="F215" s="29"/>
      <c r="G215" s="38"/>
    </row>
    <row r="216" spans="4:19">
      <c r="D216" s="29"/>
      <c r="E216" s="29"/>
      <c r="F216" s="29"/>
      <c r="G216" s="38"/>
    </row>
    <row r="217" spans="4:19">
      <c r="D217" s="29"/>
      <c r="E217" s="29"/>
      <c r="F217" s="29"/>
      <c r="G217" s="38"/>
    </row>
    <row r="218" spans="4:19">
      <c r="D218" s="29"/>
      <c r="E218" s="29"/>
      <c r="F218" s="29"/>
      <c r="G218" s="38"/>
    </row>
    <row r="219" spans="4:19">
      <c r="D219" s="29"/>
      <c r="E219" s="29"/>
      <c r="F219" s="29"/>
      <c r="G219" s="38"/>
    </row>
    <row r="220" spans="4:19">
      <c r="D220" s="29"/>
      <c r="E220" s="29"/>
      <c r="F220" s="29"/>
      <c r="G220" s="38"/>
    </row>
    <row r="221" spans="4:19">
      <c r="D221" s="29"/>
      <c r="E221" s="29"/>
      <c r="F221" s="29"/>
      <c r="G221" s="38"/>
    </row>
    <row r="222" spans="4:19">
      <c r="D222" s="29"/>
      <c r="E222" s="29"/>
      <c r="F222" s="29"/>
      <c r="G222" s="38"/>
    </row>
    <row r="223" spans="4:19">
      <c r="D223" s="29"/>
      <c r="E223" s="29"/>
      <c r="F223" s="29"/>
      <c r="G223" s="38"/>
    </row>
    <row r="224" spans="4:19">
      <c r="D224" s="29"/>
      <c r="E224" s="29"/>
      <c r="F224" s="29"/>
      <c r="G224" s="38"/>
    </row>
    <row r="225" spans="4:7">
      <c r="D225" s="29"/>
      <c r="E225" s="29"/>
      <c r="F225" s="29"/>
      <c r="G225" s="38"/>
    </row>
    <row r="226" spans="4:7">
      <c r="D226" s="29"/>
      <c r="E226" s="29"/>
      <c r="F226" s="29"/>
      <c r="G226" s="38"/>
    </row>
    <row r="227" spans="4:7">
      <c r="D227" s="29"/>
      <c r="E227" s="29"/>
      <c r="F227" s="29"/>
      <c r="G227" s="38"/>
    </row>
    <row r="228" spans="4:7">
      <c r="D228" s="29"/>
      <c r="E228" s="29"/>
      <c r="F228" s="29"/>
      <c r="G228" s="38"/>
    </row>
    <row r="229" spans="4:7">
      <c r="D229" s="29"/>
      <c r="E229" s="29"/>
      <c r="F229" s="29"/>
      <c r="G229" s="38"/>
    </row>
    <row r="230" spans="4:7">
      <c r="D230" s="29"/>
      <c r="E230" s="29"/>
      <c r="F230" s="29"/>
      <c r="G230" s="38"/>
    </row>
    <row r="231" spans="4:7">
      <c r="D231" s="29"/>
      <c r="E231" s="29"/>
      <c r="F231" s="29"/>
      <c r="G231" s="38"/>
    </row>
    <row r="232" spans="4:7">
      <c r="D232" s="29"/>
      <c r="E232" s="29"/>
      <c r="F232" s="29"/>
      <c r="G232" s="38"/>
    </row>
    <row r="233" spans="4:7">
      <c r="D233" s="29"/>
      <c r="E233" s="29"/>
      <c r="F233" s="29"/>
      <c r="G233" s="38"/>
    </row>
    <row r="234" spans="4:7">
      <c r="D234" s="29"/>
      <c r="E234" s="29"/>
      <c r="F234" s="29"/>
      <c r="G234" s="38"/>
    </row>
    <row r="235" spans="4:7">
      <c r="D235" s="29"/>
      <c r="E235" s="29"/>
      <c r="F235" s="29"/>
      <c r="G235" s="38"/>
    </row>
    <row r="236" spans="4:7">
      <c r="D236" s="29"/>
      <c r="E236" s="29"/>
      <c r="F236" s="29"/>
      <c r="G236" s="38"/>
    </row>
    <row r="237" spans="4:7">
      <c r="D237" s="29"/>
      <c r="E237" s="29"/>
      <c r="F237" s="29"/>
      <c r="G237" s="38"/>
    </row>
    <row r="238" spans="4:7">
      <c r="D238" s="29"/>
      <c r="E238" s="29"/>
      <c r="F238" s="29"/>
      <c r="G238" s="38"/>
    </row>
    <row r="239" spans="4:7">
      <c r="D239" s="29"/>
      <c r="E239" s="29"/>
      <c r="F239" s="29"/>
      <c r="G239" s="38"/>
    </row>
    <row r="240" spans="4:7">
      <c r="D240" s="29"/>
      <c r="E240" s="29"/>
      <c r="F240" s="29"/>
      <c r="G240" s="38"/>
    </row>
    <row r="241" spans="4:7">
      <c r="D241" s="29"/>
      <c r="E241" s="29"/>
      <c r="F241" s="29"/>
      <c r="G241" s="38"/>
    </row>
    <row r="242" spans="4:7">
      <c r="D242" s="29"/>
      <c r="E242" s="29"/>
      <c r="F242" s="29"/>
      <c r="G242" s="38"/>
    </row>
    <row r="243" spans="4:7">
      <c r="D243" s="29"/>
      <c r="E243" s="29"/>
      <c r="F243" s="29"/>
      <c r="G243" s="38"/>
    </row>
    <row r="244" spans="4:7">
      <c r="D244" s="29"/>
      <c r="E244" s="29"/>
      <c r="F244" s="29"/>
      <c r="G244" s="38"/>
    </row>
    <row r="245" spans="4:7">
      <c r="D245" s="29"/>
      <c r="E245" s="29"/>
      <c r="F245" s="29"/>
      <c r="G245" s="38"/>
    </row>
    <row r="246" spans="4:7">
      <c r="D246" s="29"/>
      <c r="E246" s="29"/>
      <c r="F246" s="29"/>
      <c r="G246" s="38"/>
    </row>
    <row r="247" spans="4:7">
      <c r="D247" s="29"/>
      <c r="E247" s="29"/>
      <c r="F247" s="29"/>
      <c r="G247" s="38"/>
    </row>
    <row r="248" spans="4:7">
      <c r="D248" s="29"/>
      <c r="E248" s="29"/>
      <c r="F248" s="29"/>
      <c r="G248" s="38"/>
    </row>
    <row r="249" spans="4:7">
      <c r="D249" s="29"/>
      <c r="E249" s="29"/>
      <c r="F249" s="29"/>
      <c r="G249" s="38"/>
    </row>
    <row r="250" spans="4:7">
      <c r="D250" s="29"/>
      <c r="E250" s="29"/>
      <c r="F250" s="29"/>
      <c r="G250" s="38"/>
    </row>
    <row r="251" spans="4:7">
      <c r="D251" s="29"/>
      <c r="E251" s="29"/>
      <c r="F251" s="29"/>
      <c r="G251" s="38"/>
    </row>
    <row r="252" spans="4:7">
      <c r="D252" s="29"/>
      <c r="E252" s="29"/>
      <c r="F252" s="29"/>
      <c r="G252" s="38"/>
    </row>
    <row r="253" spans="4:7">
      <c r="D253" s="29"/>
      <c r="E253" s="29"/>
      <c r="F253" s="29"/>
      <c r="G253" s="38"/>
    </row>
    <row r="254" spans="4:7">
      <c r="D254" s="29"/>
      <c r="E254" s="29"/>
      <c r="F254" s="29"/>
      <c r="G254" s="38"/>
    </row>
    <row r="255" spans="4:7">
      <c r="D255" s="29"/>
      <c r="E255" s="29"/>
      <c r="F255" s="29"/>
      <c r="G255" s="38"/>
    </row>
    <row r="256" spans="4:7">
      <c r="D256" s="29"/>
      <c r="E256" s="37"/>
    </row>
    <row r="257" spans="4:5">
      <c r="D257" s="29"/>
      <c r="E257" s="37"/>
    </row>
    <row r="258" spans="4:5">
      <c r="D258" s="29"/>
      <c r="E258" s="37"/>
    </row>
    <row r="259" spans="4:5">
      <c r="D259" s="29"/>
      <c r="E259" s="37"/>
    </row>
    <row r="260" spans="4:5">
      <c r="D260" s="29"/>
      <c r="E260" s="37"/>
    </row>
    <row r="261" spans="4:5">
      <c r="D261" s="29"/>
      <c r="E261" s="37"/>
    </row>
    <row r="262" spans="4:5">
      <c r="D262" s="29"/>
      <c r="E262" s="37"/>
    </row>
    <row r="263" spans="4:5">
      <c r="D263" s="29"/>
      <c r="E263" s="37"/>
    </row>
    <row r="264" spans="4:5">
      <c r="D264" s="29"/>
      <c r="E264" s="37"/>
    </row>
    <row r="265" spans="4:5">
      <c r="D265" s="29"/>
      <c r="E265" s="37"/>
    </row>
    <row r="266" spans="4:5">
      <c r="D266" s="29"/>
      <c r="E266" s="37"/>
    </row>
    <row r="267" spans="4:5">
      <c r="D267" s="29"/>
      <c r="E267" s="37"/>
    </row>
    <row r="268" spans="4:5">
      <c r="D268" s="29"/>
      <c r="E268" s="37"/>
    </row>
    <row r="269" spans="4:5">
      <c r="D269" s="29"/>
      <c r="E269" s="37"/>
    </row>
    <row r="270" spans="4:5">
      <c r="D270" s="29"/>
      <c r="E270" s="37"/>
    </row>
    <row r="271" spans="4:5">
      <c r="D271" s="29"/>
      <c r="E271" s="37"/>
    </row>
    <row r="272" spans="4:5">
      <c r="D272" s="29"/>
      <c r="E272" s="37"/>
    </row>
    <row r="273" spans="4:5">
      <c r="D273" s="29"/>
      <c r="E273" s="37"/>
    </row>
    <row r="274" spans="4:5">
      <c r="D274" s="29"/>
      <c r="E274" s="37"/>
    </row>
    <row r="275" spans="4:5">
      <c r="D275" s="29"/>
      <c r="E275" s="37"/>
    </row>
    <row r="276" spans="4:5">
      <c r="D276" s="29"/>
      <c r="E276" s="37"/>
    </row>
    <row r="277" spans="4:5">
      <c r="D277" s="29"/>
      <c r="E277" s="37"/>
    </row>
    <row r="278" spans="4:5">
      <c r="D278" s="29"/>
      <c r="E278" s="37"/>
    </row>
    <row r="279" spans="4:5">
      <c r="D279" s="29"/>
      <c r="E279" s="37"/>
    </row>
    <row r="280" spans="4:5">
      <c r="D280" s="29"/>
      <c r="E280" s="37"/>
    </row>
    <row r="281" spans="4:5">
      <c r="D281" s="29"/>
      <c r="E281" s="37"/>
    </row>
    <row r="282" spans="4:5">
      <c r="D282" s="29"/>
      <c r="E282" s="37"/>
    </row>
    <row r="283" spans="4:5">
      <c r="D283" s="29"/>
      <c r="E283" s="37"/>
    </row>
    <row r="284" spans="4:5">
      <c r="D284" s="29"/>
      <c r="E284" s="37"/>
    </row>
    <row r="285" spans="4:5">
      <c r="D285" s="29"/>
      <c r="E285" s="37"/>
    </row>
    <row r="286" spans="4:5">
      <c r="D286" s="29"/>
      <c r="E286" s="37"/>
    </row>
    <row r="287" spans="4:5">
      <c r="D287" s="29"/>
      <c r="E287" s="37"/>
    </row>
    <row r="288" spans="4:5">
      <c r="D288" s="29"/>
      <c r="E288" s="37"/>
    </row>
    <row r="289" spans="4:5">
      <c r="D289" s="29"/>
      <c r="E289" s="37"/>
    </row>
    <row r="290" spans="4:5">
      <c r="D290" s="29"/>
      <c r="E290" s="37"/>
    </row>
    <row r="291" spans="4:5">
      <c r="D291" s="29"/>
      <c r="E291" s="37"/>
    </row>
    <row r="292" spans="4:5">
      <c r="D292" s="29"/>
      <c r="E292" s="37"/>
    </row>
    <row r="293" spans="4:5">
      <c r="D293" s="29"/>
      <c r="E293" s="37"/>
    </row>
    <row r="294" spans="4:5">
      <c r="D294" s="29"/>
      <c r="E294" s="37"/>
    </row>
    <row r="295" spans="4:5">
      <c r="D295" s="29"/>
      <c r="E295" s="37"/>
    </row>
    <row r="296" spans="4:5">
      <c r="D296" s="29"/>
      <c r="E296" s="37"/>
    </row>
    <row r="297" spans="4:5">
      <c r="D297" s="29"/>
      <c r="E297" s="37"/>
    </row>
    <row r="298" spans="4:5">
      <c r="D298" s="29"/>
      <c r="E298" s="37"/>
    </row>
    <row r="299" spans="4:5">
      <c r="D299" s="29"/>
      <c r="E299" s="37"/>
    </row>
    <row r="300" spans="4:5">
      <c r="D300" s="29"/>
      <c r="E300" s="37"/>
    </row>
    <row r="301" spans="4:5">
      <c r="D301" s="29"/>
      <c r="E301" s="37"/>
    </row>
    <row r="302" spans="4:5">
      <c r="D302" s="29"/>
      <c r="E302" s="37"/>
    </row>
    <row r="303" spans="4:5">
      <c r="D303" s="29"/>
      <c r="E303" s="37"/>
    </row>
    <row r="304" spans="4:5">
      <c r="D304" s="29"/>
      <c r="E304" s="37"/>
    </row>
    <row r="305" spans="4:5">
      <c r="D305" s="29"/>
      <c r="E305" s="37"/>
    </row>
    <row r="306" spans="4:5">
      <c r="D306" s="29"/>
      <c r="E306" s="37"/>
    </row>
    <row r="307" spans="4:5">
      <c r="D307" s="29"/>
      <c r="E307" s="37"/>
    </row>
    <row r="308" spans="4:5">
      <c r="D308" s="29"/>
      <c r="E308" s="37"/>
    </row>
    <row r="309" spans="4:5">
      <c r="D309" s="29"/>
      <c r="E309" s="37"/>
    </row>
    <row r="310" spans="4:5">
      <c r="D310" s="29"/>
      <c r="E310" s="37"/>
    </row>
    <row r="311" spans="4:5">
      <c r="D311" s="29"/>
      <c r="E311" s="37"/>
    </row>
    <row r="312" spans="4:5">
      <c r="D312" s="29"/>
      <c r="E312" s="37"/>
    </row>
    <row r="313" spans="4:5">
      <c r="D313" s="29"/>
      <c r="E313" s="37"/>
    </row>
    <row r="314" spans="4:5">
      <c r="D314" s="29"/>
      <c r="E314" s="37"/>
    </row>
    <row r="315" spans="4:5">
      <c r="D315" s="29"/>
      <c r="E315" s="37"/>
    </row>
    <row r="316" spans="4:5">
      <c r="D316" s="29"/>
      <c r="E316" s="37"/>
    </row>
    <row r="317" spans="4:5">
      <c r="D317" s="29"/>
      <c r="E317" s="37"/>
    </row>
    <row r="318" spans="4:5">
      <c r="D318" s="29"/>
      <c r="E318" s="37"/>
    </row>
    <row r="319" spans="4:5">
      <c r="D319" s="29"/>
      <c r="E319" s="37"/>
    </row>
    <row r="320" spans="4:5">
      <c r="D320" s="29"/>
      <c r="E320" s="37"/>
    </row>
    <row r="321" spans="4:5">
      <c r="D321" s="29"/>
      <c r="E321" s="37"/>
    </row>
    <row r="322" spans="4:5">
      <c r="D322" s="29"/>
      <c r="E322" s="37"/>
    </row>
    <row r="323" spans="4:5">
      <c r="D323" s="29"/>
      <c r="E323" s="37"/>
    </row>
    <row r="324" spans="4:5">
      <c r="D324" s="29"/>
      <c r="E324" s="37"/>
    </row>
    <row r="325" spans="4:5">
      <c r="D325" s="29"/>
      <c r="E325" s="37"/>
    </row>
    <row r="326" spans="4:5">
      <c r="D326" s="29"/>
      <c r="E326" s="37"/>
    </row>
    <row r="327" spans="4:5">
      <c r="D327" s="29"/>
      <c r="E327" s="37"/>
    </row>
    <row r="328" spans="4:5">
      <c r="D328" s="29"/>
      <c r="E328" s="37"/>
    </row>
    <row r="329" spans="4:5">
      <c r="D329" s="29"/>
      <c r="E329" s="37"/>
    </row>
    <row r="330" spans="4:5">
      <c r="D330" s="29"/>
      <c r="E330" s="37"/>
    </row>
    <row r="331" spans="4:5">
      <c r="D331" s="29"/>
      <c r="E331" s="37"/>
    </row>
    <row r="332" spans="4:5">
      <c r="D332" s="29"/>
      <c r="E332" s="37"/>
    </row>
    <row r="333" spans="4:5">
      <c r="D333" s="29"/>
      <c r="E333" s="37"/>
    </row>
    <row r="334" spans="4:5">
      <c r="D334" s="29"/>
      <c r="E334" s="37"/>
    </row>
    <row r="335" spans="4:5">
      <c r="D335" s="29"/>
      <c r="E335" s="37"/>
    </row>
    <row r="336" spans="4:5">
      <c r="D336" s="29"/>
      <c r="E336" s="37"/>
    </row>
    <row r="337" spans="4:5">
      <c r="D337" s="29"/>
      <c r="E337" s="37"/>
    </row>
    <row r="338" spans="4:5">
      <c r="D338" s="29"/>
      <c r="E338" s="37"/>
    </row>
    <row r="339" spans="4:5">
      <c r="D339" s="29"/>
      <c r="E339" s="37"/>
    </row>
    <row r="340" spans="4:5">
      <c r="D340" s="29"/>
      <c r="E340" s="37"/>
    </row>
    <row r="341" spans="4:5">
      <c r="D341" s="29"/>
      <c r="E341" s="37"/>
    </row>
    <row r="342" spans="4:5">
      <c r="D342" s="29"/>
      <c r="E342" s="37"/>
    </row>
    <row r="343" spans="4:5">
      <c r="D343" s="29"/>
      <c r="E343" s="37"/>
    </row>
    <row r="344" spans="4:5">
      <c r="D344" s="29"/>
      <c r="E344" s="37"/>
    </row>
    <row r="345" spans="4:5">
      <c r="D345" s="29"/>
      <c r="E345" s="37"/>
    </row>
    <row r="346" spans="4:5">
      <c r="D346" s="29"/>
      <c r="E346" s="37"/>
    </row>
    <row r="347" spans="4:5">
      <c r="D347" s="29"/>
      <c r="E347" s="37"/>
    </row>
    <row r="348" spans="4:5">
      <c r="D348" s="29"/>
      <c r="E348" s="37"/>
    </row>
    <row r="349" spans="4:5">
      <c r="D349" s="29"/>
      <c r="E349" s="37"/>
    </row>
    <row r="350" spans="4:5">
      <c r="D350" s="29"/>
      <c r="E350" s="37"/>
    </row>
    <row r="351" spans="4:5">
      <c r="D351" s="29"/>
      <c r="E351" s="37"/>
    </row>
    <row r="352" spans="4:5">
      <c r="D352" s="29"/>
      <c r="E352" s="37"/>
    </row>
    <row r="353" spans="4:5">
      <c r="D353" s="29"/>
      <c r="E353" s="37"/>
    </row>
    <row r="354" spans="4:5">
      <c r="D354" s="29"/>
      <c r="E354" s="37"/>
    </row>
    <row r="355" spans="4:5">
      <c r="D355" s="29"/>
      <c r="E355" s="37"/>
    </row>
    <row r="356" spans="4:5">
      <c r="D356" s="29"/>
      <c r="E356" s="37"/>
    </row>
    <row r="357" spans="4:5">
      <c r="D357" s="29"/>
      <c r="E357" s="37"/>
    </row>
    <row r="358" spans="4:5">
      <c r="D358" s="29"/>
      <c r="E358" s="37"/>
    </row>
    <row r="359" spans="4:5">
      <c r="D359" s="29"/>
      <c r="E359" s="37"/>
    </row>
    <row r="360" spans="4:5">
      <c r="D360" s="29"/>
      <c r="E360" s="37"/>
    </row>
    <row r="361" spans="4:5">
      <c r="D361" s="29"/>
      <c r="E361" s="37"/>
    </row>
    <row r="362" spans="4:5">
      <c r="D362" s="29"/>
      <c r="E362" s="37"/>
    </row>
    <row r="363" spans="4:5">
      <c r="D363" s="29"/>
      <c r="E363" s="37"/>
    </row>
    <row r="364" spans="4:5">
      <c r="D364" s="29"/>
      <c r="E364" s="37"/>
    </row>
    <row r="365" spans="4:5">
      <c r="D365" s="29"/>
      <c r="E365" s="37"/>
    </row>
    <row r="366" spans="4:5">
      <c r="D366" s="29"/>
      <c r="E366" s="37"/>
    </row>
    <row r="367" spans="4:5">
      <c r="D367" s="29"/>
      <c r="E367" s="37"/>
    </row>
    <row r="368" spans="4:5">
      <c r="D368" s="29"/>
      <c r="E368" s="37"/>
    </row>
    <row r="369" spans="4:5">
      <c r="D369" s="29"/>
      <c r="E369" s="37"/>
    </row>
    <row r="370" spans="4:5">
      <c r="D370" s="29"/>
      <c r="E370" s="37"/>
    </row>
    <row r="371" spans="4:5">
      <c r="D371" s="29"/>
      <c r="E371" s="37"/>
    </row>
    <row r="372" spans="4:5">
      <c r="D372" s="29"/>
      <c r="E372" s="37"/>
    </row>
    <row r="373" spans="4:5">
      <c r="D373" s="29"/>
      <c r="E373" s="37"/>
    </row>
    <row r="374" spans="4:5">
      <c r="D374" s="29"/>
      <c r="E374" s="37"/>
    </row>
    <row r="375" spans="4:5">
      <c r="D375" s="29"/>
      <c r="E375" s="37"/>
    </row>
    <row r="376" spans="4:5">
      <c r="D376" s="29"/>
      <c r="E376" s="37"/>
    </row>
    <row r="377" spans="4:5">
      <c r="D377" s="29"/>
      <c r="E377" s="37"/>
    </row>
    <row r="378" spans="4:5">
      <c r="D378" s="29"/>
      <c r="E378" s="37"/>
    </row>
    <row r="379" spans="4:5">
      <c r="D379" s="29"/>
      <c r="E379" s="37"/>
    </row>
    <row r="380" spans="4:5">
      <c r="D380" s="29"/>
      <c r="E380" s="37"/>
    </row>
    <row r="381" spans="4:5">
      <c r="D381" s="29"/>
      <c r="E381" s="37"/>
    </row>
    <row r="382" spans="4:5">
      <c r="D382" s="29"/>
      <c r="E382" s="37"/>
    </row>
    <row r="383" spans="4:5">
      <c r="D383" s="29"/>
      <c r="E383" s="37"/>
    </row>
    <row r="384" spans="4:5">
      <c r="D384" s="29"/>
      <c r="E384" s="37"/>
    </row>
    <row r="385" spans="4:5">
      <c r="D385" s="29"/>
      <c r="E385" s="37"/>
    </row>
    <row r="386" spans="4:5">
      <c r="D386" s="29"/>
      <c r="E386" s="37"/>
    </row>
    <row r="387" spans="4:5">
      <c r="D387" s="29"/>
      <c r="E387" s="37"/>
    </row>
    <row r="388" spans="4:5">
      <c r="D388" s="29"/>
      <c r="E388" s="37"/>
    </row>
    <row r="389" spans="4:5">
      <c r="D389" s="29"/>
      <c r="E389" s="37"/>
    </row>
    <row r="390" spans="4:5">
      <c r="D390" s="29"/>
      <c r="E390" s="37"/>
    </row>
    <row r="391" spans="4:5">
      <c r="D391" s="29"/>
      <c r="E391" s="37"/>
    </row>
    <row r="392" spans="4:5">
      <c r="D392" s="29"/>
      <c r="E392" s="37"/>
    </row>
    <row r="393" spans="4:5">
      <c r="D393" s="29"/>
      <c r="E393" s="37"/>
    </row>
    <row r="394" spans="4:5">
      <c r="D394" s="29"/>
      <c r="E394" s="37"/>
    </row>
    <row r="395" spans="4:5">
      <c r="D395" s="29"/>
      <c r="E395" s="37"/>
    </row>
    <row r="396" spans="4:5">
      <c r="D396" s="29"/>
      <c r="E396" s="37"/>
    </row>
    <row r="397" spans="4:5">
      <c r="D397" s="29"/>
      <c r="E397" s="37"/>
    </row>
    <row r="398" spans="4:5">
      <c r="D398" s="29"/>
      <c r="E398" s="37"/>
    </row>
    <row r="399" spans="4:5">
      <c r="D399" s="29"/>
      <c r="E399" s="37"/>
    </row>
    <row r="400" spans="4:5">
      <c r="D400" s="29"/>
      <c r="E400" s="37"/>
    </row>
    <row r="401" spans="4:5">
      <c r="D401" s="29"/>
      <c r="E401" s="37"/>
    </row>
    <row r="402" spans="4:5">
      <c r="D402" s="29"/>
      <c r="E402" s="37"/>
    </row>
    <row r="403" spans="4:5">
      <c r="D403" s="29"/>
      <c r="E403" s="37"/>
    </row>
    <row r="404" spans="4:5">
      <c r="D404" s="29"/>
      <c r="E404" s="37"/>
    </row>
    <row r="405" spans="4:5">
      <c r="D405" s="29"/>
      <c r="E405" s="37"/>
    </row>
    <row r="406" spans="4:5">
      <c r="D406" s="29"/>
      <c r="E406" s="37"/>
    </row>
    <row r="407" spans="4:5">
      <c r="D407" s="29"/>
      <c r="E407" s="37"/>
    </row>
    <row r="408" spans="4:5">
      <c r="D408" s="29"/>
      <c r="E408" s="37"/>
    </row>
    <row r="409" spans="4:5">
      <c r="D409" s="29"/>
      <c r="E409" s="37"/>
    </row>
    <row r="410" spans="4:5">
      <c r="D410" s="29"/>
      <c r="E410" s="37"/>
    </row>
    <row r="411" spans="4:5">
      <c r="D411" s="29"/>
      <c r="E411" s="37"/>
    </row>
    <row r="412" spans="4:5">
      <c r="D412" s="29"/>
      <c r="E412" s="37"/>
    </row>
    <row r="413" spans="4:5">
      <c r="D413" s="29"/>
      <c r="E413" s="37"/>
    </row>
    <row r="414" spans="4:5">
      <c r="D414" s="29"/>
      <c r="E414" s="37"/>
    </row>
    <row r="415" spans="4:5">
      <c r="D415" s="29"/>
      <c r="E415" s="37"/>
    </row>
    <row r="416" spans="4:5">
      <c r="D416" s="29"/>
      <c r="E416" s="37"/>
    </row>
    <row r="417" spans="4:5">
      <c r="D417" s="29"/>
      <c r="E417" s="37"/>
    </row>
    <row r="418" spans="4:5">
      <c r="D418" s="29"/>
      <c r="E418" s="37"/>
    </row>
    <row r="419" spans="4:5">
      <c r="D419" s="29"/>
      <c r="E419" s="37"/>
    </row>
    <row r="420" spans="4:5">
      <c r="D420" s="29"/>
      <c r="E420" s="37"/>
    </row>
    <row r="421" spans="4:5">
      <c r="D421" s="29"/>
      <c r="E421" s="37"/>
    </row>
    <row r="422" spans="4:5">
      <c r="D422" s="29"/>
      <c r="E422" s="37"/>
    </row>
    <row r="423" spans="4:5">
      <c r="D423" s="29"/>
      <c r="E423" s="37"/>
    </row>
    <row r="424" spans="4:5">
      <c r="D424" s="29"/>
      <c r="E424" s="37"/>
    </row>
    <row r="425" spans="4:5">
      <c r="D425" s="29"/>
      <c r="E425" s="37"/>
    </row>
    <row r="426" spans="4:5">
      <c r="D426" s="29"/>
      <c r="E426" s="37"/>
    </row>
    <row r="427" spans="4:5">
      <c r="D427" s="29"/>
      <c r="E427" s="37"/>
    </row>
    <row r="428" spans="4:5">
      <c r="D428" s="29"/>
      <c r="E428" s="37"/>
    </row>
    <row r="429" spans="4:5">
      <c r="D429" s="29"/>
      <c r="E429" s="37"/>
    </row>
    <row r="430" spans="4:5">
      <c r="D430" s="29"/>
      <c r="E430" s="37"/>
    </row>
    <row r="431" spans="4:5">
      <c r="D431" s="29"/>
      <c r="E431" s="37"/>
    </row>
    <row r="432" spans="4:5">
      <c r="D432" s="29"/>
      <c r="E432" s="37"/>
    </row>
    <row r="433" spans="4:5">
      <c r="D433" s="29"/>
      <c r="E433" s="37"/>
    </row>
    <row r="434" spans="4:5">
      <c r="D434" s="29"/>
      <c r="E434" s="37"/>
    </row>
    <row r="435" spans="4:5">
      <c r="D435" s="29"/>
      <c r="E435" s="37"/>
    </row>
    <row r="436" spans="4:5">
      <c r="D436" s="29"/>
      <c r="E436" s="37"/>
    </row>
    <row r="437" spans="4:5">
      <c r="D437" s="29"/>
      <c r="E437" s="37"/>
    </row>
    <row r="438" spans="4:5">
      <c r="D438" s="29"/>
      <c r="E438" s="37"/>
    </row>
    <row r="439" spans="4:5">
      <c r="D439" s="29"/>
      <c r="E439" s="37"/>
    </row>
    <row r="440" spans="4:5">
      <c r="D440" s="29"/>
      <c r="E440" s="37"/>
    </row>
    <row r="441" spans="4:5">
      <c r="D441" s="29"/>
      <c r="E441" s="37"/>
    </row>
    <row r="442" spans="4:5">
      <c r="D442" s="29"/>
      <c r="E442" s="37"/>
    </row>
    <row r="443" spans="4:5">
      <c r="D443" s="29"/>
      <c r="E443" s="37"/>
    </row>
    <row r="444" spans="4:5">
      <c r="D444" s="29"/>
      <c r="E444" s="37"/>
    </row>
  </sheetData>
  <mergeCells count="21">
    <mergeCell ref="E2:E81"/>
    <mergeCell ref="G82:G101"/>
    <mergeCell ref="F2:F81"/>
    <mergeCell ref="G2:G81"/>
    <mergeCell ref="N82:N101"/>
    <mergeCell ref="Q82:Q101"/>
    <mergeCell ref="K82:K101"/>
    <mergeCell ref="H2:H81"/>
    <mergeCell ref="I2:I81"/>
    <mergeCell ref="J2:J81"/>
    <mergeCell ref="K2:K81"/>
    <mergeCell ref="L2:L81"/>
    <mergeCell ref="M2:M81"/>
    <mergeCell ref="N2:N81"/>
    <mergeCell ref="I82:I101"/>
    <mergeCell ref="J82:J101"/>
    <mergeCell ref="O2:O81"/>
    <mergeCell ref="P2:P81"/>
    <mergeCell ref="Q2:Q81"/>
    <mergeCell ref="R2:R81"/>
    <mergeCell ref="S2:S8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MAE</vt:lpstr>
      <vt:lpstr>MSE</vt:lpstr>
      <vt:lpstr>RMSE</vt:lpstr>
      <vt:lpstr>Rsquared</vt:lpstr>
      <vt:lpstr>Practice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PRABHURAJ METIPATIL</dc:creator>
  <cp:lastModifiedBy>INDHU SREE</cp:lastModifiedBy>
  <dcterms:created xsi:type="dcterms:W3CDTF">2026-03-04T04:35:14Z</dcterms:created>
  <dcterms:modified xsi:type="dcterms:W3CDTF">2026-03-09T03:29:04Z</dcterms:modified>
</cp:coreProperties>
</file>